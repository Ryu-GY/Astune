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b6ec4ca5f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c21feba69ce4cb4"/>
    <x:sheet xmlns:r="http://schemas.openxmlformats.org/officeDocument/2006/relationships" name="Tasks" sheetId="2" r:id="R757c6c17ff4244e7"/>
    <x:sheet xmlns:r="http://schemas.openxmlformats.org/officeDocument/2006/relationships" name="Summary" sheetId="3" r:id="R144ceebc84bb421f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" authorId="0">
      <x:text>
        <x:r>
          <x:t>P0=핵심/MVP, P1=중요, P2=배포·운영 등 후순위</x:t>
        </x:r>
      </x:text>
    </x:comment>
    <x:comment ref="I1" authorId="0">
      <x:text>
        <x:r>
          <x:t>추천 시작 스프린트. 실제 진행 상황에 맞게 수정 가능</x:t>
        </x:r>
      </x:text>
    </x:comment>
    <x:comment ref="J1" authorId="0">
      <x:text>
        <x:r>
          <x:t>TODO, DOING, DONE, BLOCKED, LATER 중 하나로 관리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color theme="1"/>
      <x:name val="Calibri"/>
      <x:family val="2"/>
      <x:scheme val="minor"/>
    </x:font>
    <x:font>
      <x:b/>
      <x:sz val="16"/>
      <x:color rgb="FFFFFFFF"/>
      <x:name val="Calibri"/>
    </x:font>
    <x:font>
      <x:i/>
      <x:sz val="11"/>
      <x:color rgb="FFFFFFFF"/>
      <x:name val="Calibri"/>
    </x:font>
    <x:font>
      <x:b/>
      <x:sz val="11"/>
      <x:color rgb="FFFFFFFF"/>
      <x:name val="Calibri"/>
    </x:font>
    <x:font>
      <x:b/>
      <x:sz val="10"/>
      <x:color rgb="FF000000"/>
      <x:name val="Calibri"/>
    </x:font>
    <x:font>
      <x:sz val="10"/>
      <x:color rgb="FF000000"/>
      <x:name val="Calibri"/>
    </x:font>
    <x:font>
      <x:sz val="11"/>
      <x:color rgb="FFFFFFFF"/>
      <x:name val="Calibri"/>
      <x:family val="2"/>
      <x:scheme val="minor"/>
    </x:font>
    <x:font>
      <x:b/>
      <x:sz val="11"/>
      <x:color rgb="FFFFFFFF"/>
      <x:name val="Calibri"/>
      <x:family val="2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2" borderId="0" xfId="0" applyAlignment="1">
      <x:alignment horizontal="center" vertical="center"/>
    </x:xf>
    <x:xf numFmtId="0" fontId="2" fillId="2" borderId="0" xfId="0" applyAlignment="1">
      <x:alignment horizontal="center" vertical="center"/>
    </x:xf>
    <x:xf numFmtId="0" fontId="3" fillId="2" borderId="1" xfId="0" applyAlignment="1">
      <x:alignment horizontal="left" vertical="center"/>
    </x:xf>
    <x:xf numFmtId="0" fontId="4" fillId="3" borderId="1" xfId="0" applyAlignment="1">
      <x:alignment horizontal="left" vertical="top" wrapText="1"/>
    </x:xf>
    <x:xf numFmtId="0" fontId="5" fillId="0" borderId="1" xfId="0" applyAlignment="1">
      <x:alignment horizontal="left" vertical="top" wrapText="1"/>
    </x:xf>
    <x:xf numFmtId="0" fontId="4" fillId="4" borderId="1" xfId="0" applyAlignment="1">
      <x:alignment horizontal="left" vertical="top" wrapText="1"/>
    </x:xf>
    <x:xf numFmtId="0" fontId="3" fillId="2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1" fontId="5" fillId="0" borderId="1" xfId="0" applyAlignment="1">
      <x:alignment horizontal="left" vertical="top" wrapText="1"/>
    </x:xf>
    <x:xf numFmtId="164" fontId="5" fillId="0" borderId="1" xfId="0" applyAlignment="1">
      <x:alignment horizontal="left" vertical="top" wrapText="1"/>
    </x:xf>
    <x:xf numFmtId="1" fontId="5" fillId="0" borderId="1" xfId="0" applyAlignment="1">
      <x:alignment horizontal="center" vertical="center" wrapText="1"/>
    </x:xf>
    <x:xf numFmtId="164" fontId="5" fillId="0" borderId="1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left" vertical="top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1" fontId="5" fillId="0" borderId="1" xfId="0" applyNumberFormat="1" applyFont="1" applyFill="1" applyBorder="1" applyAlignment="1">
      <x:alignment horizontal="left" vertical="top" wrapText="1"/>
    </x:xf>
    <x:xf numFmtId="164" fontId="5" fillId="0" borderId="1" xfId="0" applyNumberFormat="1" applyFont="1" applyFill="1" applyBorder="1" applyAlignment="1">
      <x:alignment horizontal="left" vertical="top" wrapText="1"/>
    </x:xf>
    <x:xf numFmtId="1" fontId="5" fillId="0" borderId="1" xfId="0" applyNumberFormat="1" applyFont="1" applyFill="1" applyBorder="1" applyAlignment="1">
      <x:alignment horizontal="center" vertical="center" wrapText="1"/>
    </x:xf>
    <x:xf numFmtId="164" fontId="5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/>
    <x:xf numFmtId="0" fontId="3" fillId="5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ill>
        <x:patternFill>
          <x:bgColor rgb="00FDE9E7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D9EAF7"/>
        </x:patternFill>
      </x:fill>
    </x:dxf>
    <x:dxf>
      <x:fill>
        <x:patternFill>
          <x:bgColor rgb="00F3F4F6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E2F0D9"/>
        </x:patternFill>
      </x:fill>
    </x:dxf>
    <x:dxf>
      <x:fill>
        <x:patternFill>
          <x:bgColor rgb="00E4DFE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09da424ef4b03" /><Relationship Type="http://schemas.openxmlformats.org/officeDocument/2006/relationships/theme" Target="/xl/theme/theme1.xml" Id="R8fdbc6de88864317" /><Relationship Type="http://schemas.openxmlformats.org/officeDocument/2006/relationships/sharedStrings" Target="/xl/sharedStrings.xml" Id="Rd627726ed78c4314" /><Relationship Type="http://schemas.openxmlformats.org/officeDocument/2006/relationships/worksheet" Target="/xl/worksheets/sheet1.xml" Id="R5c21feba69ce4cb4" /><Relationship Type="http://schemas.openxmlformats.org/officeDocument/2006/relationships/worksheet" Target="/xl/worksheets/sheet2.xml" Id="R757c6c17ff4244e7" /><Relationship Type="http://schemas.openxmlformats.org/officeDocument/2006/relationships/worksheet" Target="/xl/worksheets/sheet3.xml" Id="R144ceebc84bb421f" /><Relationship Type="http://schemas.microsoft.com/office/2017/10/relationships/person" Target="/xl/persons/person.xml" Id="R59e75c8c889245a8" /></Relationships>
</file>

<file path=xl/persons/person.xml><?xml version="1.0" encoding="utf-8"?>
<xltc:personList xmlns:xltc="http://schemas.microsoft.com/office/spreadsheetml/2018/threadedcomments">
  <xltc:person displayName="OpenAI" id="{4ED441F9-614E-5EE5-A057-88BBB27AC1E8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8f27f677fa744bb" /><Relationship Type="http://schemas.openxmlformats.org/officeDocument/2006/relationships/vmlDrawing" Target="/xl/drawings/vmldrawing.vml" Id="Ra07bf1bc501e4a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hidden="0" customWidth="1"/>
    <x:col min="2" max="2" width="10" customWidth="1"/>
    <x:col min="3" max="3" width="24" customWidth="1"/>
    <x:col min="4" max="4" width="44" customWidth="1"/>
    <x:col min="5" max="5" width="18" customWidth="1"/>
    <x:col min="6" max="6" width="22" customWidth="1"/>
    <x:col min="7" max="7" width="22" customWidth="1"/>
    <x:col min="8" max="8" width="22" customWidth="1"/>
  </x:cols>
  <x:sheetData>
    <x:row r="1" ht="30" customHeight="1">
      <x:c r="A1" s="28" t="str">
        <x:v>Astune 개발 태스크 보드</x:v>
      </x:c>
      <x:c r="B1" s="33"/>
      <x:c r="C1" s="33"/>
      <x:c r="D1" s="33"/>
      <x:c r="E1" s="33"/>
      <x:c r="F1" s="34"/>
      <x:c r="G1" s="34"/>
      <x:c r="H1" s="34"/>
    </x:row>
    <x:row r="2" ht="30" customHeight="1">
      <x:c r="A2" s="18" t="str">
        <x:v>기준일 2026-10-13 · 기획서 v1.4 · 로컬 통합 상태와 남은 개발 범위</x:v>
      </x:c>
      <x:c r="B2" s="17"/>
      <x:c r="C2" s="17"/>
      <x:c r="D2" s="17"/>
      <x:c r="E2" s="17"/>
    </x:row>
    <x:row r="3">
      <x:c r="A3" s="17"/>
      <x:c r="B3" s="17"/>
      <x:c r="C3" s="17"/>
      <x:c r="D3" s="17"/>
      <x:c r="E3" s="17"/>
    </x:row>
    <x:row r="4" ht="20" customHeight="1">
      <x:c r="A4" s="35" t="inlineStr">
        <x:is>
          <x:t xml:space="preserve">프로젝트 한눈에 보기</x:t>
        </x:is>
      </x:c>
      <x:c r="B4" s="33"/>
      <x:c r="C4" s="33"/>
      <x:c r="D4" s="33"/>
      <x:c r="E4" s="33"/>
      <x:c r="F4" s="34"/>
      <x:c r="G4" s="34"/>
      <x:c r="H4" s="34"/>
    </x:row>
    <x:row r="5" ht="42" customHeight="1">
      <x:c r="A5" s="15" t="str">
        <x:v>서비스명</x:v>
      </x:c>
      <x:c r="B5" s="20" t="str">
        <x:v>Astune</x:v>
      </x:c>
      <x:c r="C5" s="17"/>
      <x:c r="D5" s="17"/>
      <x:c r="E5" s="17"/>
    </x:row>
    <x:row r="6" ht="42" customHeight="1">
      <x:c r="A6" s="15" t="str">
        <x:v>현재 구성</x:v>
      </x:c>
      <x:c r="B6" s="20" t="str">
        <x:v>Next.js / TypeScript / FastAPI / Skyfield / Prisma / SQLite</x:v>
      </x:c>
      <x:c r="C6" s="17"/>
      <x:c r="D6" s="17"/>
      <x:c r="E6" s="17"/>
    </x:row>
    <x:row r="7" ht="42" customHeight="1">
      <x:c r="A7" s="15" t="str">
        <x:v>천문 계산</x:v>
      </x:c>
      <x:c r="B7" s="20" t="str">
        <x:v>로컬 31개 별 + DE421. 확대 카탈로그와 배포 검증은 남은 작업.</x:v>
      </x:c>
      <x:c r="C7" s="17"/>
      <x:c r="D7" s="17"/>
      <x:c r="E7" s="17"/>
    </x:row>
    <x:row r="8" ht="42" customHeight="1">
      <x:c r="A8" s="15" t="str">
        <x:v>위치와 시간</x:v>
      </x:c>
      <x:c r="B8" s="20" t="str">
        <x:v>도시 샘플 + 직접 좌표 + zoneinfo/DST. 자동 시간대 추론은 미구현.</x:v>
      </x:c>
      <x:c r="C8" s="17"/>
      <x:c r="D8" s="17"/>
      <x:c r="E8" s="17"/>
    </x:row>
    <x:row r="9" ht="42" customHeight="1">
      <x:c r="A9" s="15" t="str">
        <x:v>운영 목표</x:v>
      </x:c>
      <x:c r="B9" s="20" t="str">
        <x:v>무료 서비스. 운영 DB는 PostgreSQL 이관 목표, 호스팅은 미선정.</x:v>
      </x:c>
      <x:c r="C9" s="17"/>
      <x:c r="D9" s="17"/>
      <x:c r="E9" s="17"/>
    </x:row>
    <x:row r="10">
      <x:c r="A10" s="17"/>
      <x:c r="B10" s="17"/>
      <x:c r="C10" s="17"/>
      <x:c r="D10" s="17"/>
      <x:c r="E10" s="17"/>
    </x:row>
    <x:row r="11" ht="20" customHeight="1">
      <x:c r="A11" s="35" t="inlineStr">
        <x:is>
          <x:t xml:space="preserve">개발 원칙</x:t>
        </x:is>
      </x:c>
      <x:c r="B11" s="33"/>
      <x:c r="C11" s="33"/>
      <x:c r="D11" s="33"/>
      <x:c r="E11" s="33"/>
      <x:c r="F11" s="34"/>
      <x:c r="G11" s="34"/>
      <x:c r="H11" s="34"/>
    </x:row>
    <x:row r="12" ht="44" customHeight="1">
      <x:c r="A12" s="21" t="n">
        <x:v>1</x:v>
      </x:c>
      <x:c r="B12" s="20" t="str">
        <x:v>Next.js는 화면·공개 API·해석·저장, FastAPI는 천문 계산을 담당한다.</x:v>
      </x:c>
      <x:c r="C12" s="17"/>
      <x:c r="D12" s="17"/>
      <x:c r="E12" s="17"/>
    </x:row>
    <x:row r="13" ht="44" customHeight="1">
      <x:c r="A13" s="21" t="n">
        <x:v>2</x:v>
      </x:c>
      <x:c r="B13" s="20" t="str">
        <x:v>preview 통합은 완료했다. 로그인·소유권·관리자 DB role 검사는 남아 있다.</x:v>
      </x:c>
      <x:c r="C13" s="17"/>
      <x:c r="D13" s="17"/>
      <x:c r="E13" s="17"/>
    </x:row>
    <x:row r="14" ht="44" customHeight="1">
      <x:c r="A14" s="21" t="n">
        <x:v>3</x:v>
      </x:c>
      <x:c r="B14" s="20" t="str">
        <x:v>별 목록과 천체력은 로컬에서 계산하고 사용자 요청 중 외부 천문 API를 호출하지 않는다.</x:v>
      </x:c>
      <x:c r="C14" s="17"/>
      <x:c r="D14" s="17"/>
      <x:c r="E14" s="17"/>
    </x:row>
    <x:row r="15" ht="44" customHeight="1">
      <x:c r="A15" s="21" t="n">
        <x:v>4</x:v>
      </x:c>
      <x:c r="B15" s="20" t="str">
        <x:v>DONE은 완료 기준 충족, DOING은 부분 구현, TODO는 미착수, BLOCKED는 외부 장애다.</x:v>
      </x:c>
      <x:c r="C15" s="17"/>
      <x:c r="D15" s="17"/>
      <x:c r="E15" s="17"/>
    </x:row>
    <x:row r="16" ht="44" customHeight="1">
      <x:c r="A16" s="21" t="n">
        <x:v>5</x:v>
      </x:c>
      <x:c r="B16" s="20" t="str">
        <x:v>해석은 규칙 기반이다. DB seed 4개와 메모리 규칙 3개를 최소 12개 기준으로 확대한다.</x:v>
      </x:c>
      <x:c r="C16" s="17"/>
      <x:c r="D16" s="17"/>
      <x:c r="E16" s="17"/>
    </x:row>
    <x:row r="17">
      <x:c r="A17" s="17"/>
      <x:c r="B17" s="17"/>
      <x:c r="C17" s="17"/>
      <x:c r="D17" s="17"/>
      <x:c r="E17" s="17"/>
    </x:row>
    <x:row r="18" ht="20" customHeight="1">
      <x:c r="A18" s="35" t="str">
        <x:v>다음 우선 작업 5개</x:v>
      </x:c>
      <x:c r="B18" s="33"/>
      <x:c r="C18" s="33"/>
      <x:c r="D18" s="33"/>
      <x:c r="E18" s="33"/>
      <x:c r="F18" s="34"/>
      <x:c r="G18" s="34"/>
      <x:c r="H18" s="34"/>
    </x:row>
    <x:row r="19">
      <x:c r="A19" s="22" t="inlineStr">
        <x:is>
          <x:t xml:space="preserve">순서</x:t>
        </x:is>
      </x:c>
      <x:c r="B19" s="22" t="inlineStr">
        <x:is>
          <x:t xml:space="preserve">Task ID</x:t>
        </x:is>
      </x:c>
      <x:c r="C19" s="22" t="inlineStr">
        <x:is>
          <x:t xml:space="preserve">태스크명</x:t>
        </x:is>
      </x:c>
      <x:c r="D19" s="22" t="inlineStr">
        <x:is>
          <x:t xml:space="preserve">왜 먼저 하는가</x:t>
        </x:is>
      </x:c>
      <x:c r="E19" s="22" t="inlineStr">
        <x:is>
          <x:t xml:space="preserve">비고</x:t>
        </x:is>
      </x:c>
    </x:row>
    <x:row r="20" ht="65" customHeight="1">
      <x:c r="A20" s="20" t="n">
        <x:v>1</x:v>
      </x:c>
      <x:c r="B20" s="20" t="str">
        <x:v>T101</x:v>
      </x:c>
      <x:c r="C20" s="20" t="str">
        <x:v>별 카탈로그 확대</x:v>
      </x:c>
      <x:c r="D20" s="20" t="str">
        <x:v>31개 샘플의 데이터 범위를 넓히고 원천·정확도를 확인한다.</x:v>
      </x:c>
      <x:c r="E20" s="20" t="str">
        <x:v>P0 · 부분 구현</x:v>
      </x:c>
    </x:row>
    <x:row r="21" ht="65" customHeight="1">
      <x:c r="A21" s="20" t="n">
        <x:v>2</x:v>
      </x:c>
      <x:c r="B21" s="20" t="str">
        <x:v>T103</x:v>
      </x:c>
      <x:c r="C21" s="20" t="str">
        <x:v>위치와 시간대 보완</x:v>
      </x:c>
      <x:c r="D21" s="20" t="str">
        <x:v>도시 검색과 좌표 시간대 추론을 연결한다.</x:v>
      </x:c>
      <x:c r="E21" s="20" t="str">
        <x:v>P0 · 부분 구현</x:v>
      </x:c>
    </x:row>
    <x:row r="22" ht="65" customHeight="1">
      <x:c r="A22" s="20" t="n">
        <x:v>3</x:v>
      </x:c>
      <x:c r="B22" s="20" t="str">
        <x:v>T202</x:v>
      </x:c>
      <x:c r="C22" s="20" t="str">
        <x:v>해석 규칙 확대</x:v>
      </x:c>
      <x:c r="D22" s="20" t="str">
        <x:v>최소 12개 성좌 또는 카테고리의 문구를 채운다.</x:v>
      </x:c>
      <x:c r="E22" s="20" t="str">
        <x:v>P0 · 부분 구현</x:v>
      </x:c>
    </x:row>
    <x:row r="23" ht="65" customHeight="1">
      <x:c r="A23" s="20" t="n">
        <x:v>4</x:v>
      </x:c>
      <x:c r="B23" s="20" t="str">
        <x:v>T301</x:v>
      </x:c>
      <x:c r="C23" s="20" t="str">
        <x:v>공개 API 계약 정렬</x:v>
      </x:c>
      <x:c r="D23" s="20" t="str">
        <x:v>위치 POST 계약과 T003 응답 구조를 맞춘다.</x:v>
      </x:c>
      <x:c r="E23" s="20" t="str">
        <x:v>P0 · 부분 구현</x:v>
      </x:c>
    </x:row>
    <x:row r="24" ht="65" customHeight="1">
      <x:c r="A24" s="20" t="n">
        <x:v>5</x:v>
      </x:c>
      <x:c r="B24" s="20" t="str">
        <x:v>T501</x:v>
      </x:c>
      <x:c r="C24" s="20" t="str">
        <x:v>로그인과 소유권 연결</x:v>
      </x:c>
      <x:c r="D24" s="20" t="str">
        <x:v>회원 저장·조회 전에 실제 세션을 연결한다.</x:v>
      </x:c>
      <x:c r="E24" s="20" t="str">
        <x:v>T502·T403 연계</x:v>
      </x:c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 ht="20" customHeight="1">
      <x:c r="A27" s="35" t="inlineStr">
        <x:is>
          <x:t xml:space="preserve">사용 팁</x:t>
        </x:is>
      </x:c>
      <x:c r="B27" s="33"/>
      <x:c r="C27" s="33"/>
      <x:c r="D27" s="33"/>
      <x:c r="E27" s="33"/>
      <x:c r="F27" s="34"/>
      <x:c r="G27" s="34"/>
      <x:c r="H27" s="34"/>
    </x:row>
    <x:row r="28" ht="38" customHeight="1">
      <x:c r="A28" s="20" t="str">
        <x:v>상태는 2026-10-13 코드·로컬 검증 기준이다. DOING은 부분 구현을 포함한다.</x:v>
      </x:c>
      <x:c r="B28" s="17"/>
      <x:c r="C28" s="17"/>
      <x:c r="D28" s="17"/>
      <x:c r="E28" s="17"/>
    </x:row>
    <x:row r="29" ht="38" customHeight="1">
      <x:c r="A29" s="20" t="str">
        <x:v>Summary는 Tasks 상태로 자동 집계한다. 추천 스프린트는 일정 확약이 아니다.</x:v>
      </x:c>
      <x:c r="B29" s="17"/>
      <x:c r="C29" s="17"/>
      <x:c r="D29" s="17"/>
      <x:c r="E29" s="17"/>
    </x:row>
    <x:row r="30" ht="38" customHeight="1">
      <x:c r="A30" s="20" t="str">
        <x:v>로컬 미리보기 동작이 공개 배포·인증·운영 준비 완료를 뜻하지 않는다.</x:v>
      </x:c>
      <x:c r="B30" s="17"/>
      <x:c r="C30" s="17"/>
      <x:c r="D30" s="17"/>
      <x:c r="E30" s="17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4:H14"/>
    <x:mergeCell ref="B15:H15"/>
    <x:mergeCell ref="B16:H16"/>
    <x:mergeCell ref="A18:H18"/>
    <x:mergeCell ref="A27:H27"/>
    <x:mergeCell ref="A28:H28"/>
    <x:mergeCell ref="A29:H29"/>
    <x:mergeCell ref="A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0" customWidth="1"/>
    <x:col min="3" max="3" width="18" customWidth="1"/>
    <x:col min="4" max="4" width="10" customWidth="1"/>
    <x:col min="5" max="5" width="24" customWidth="1"/>
    <x:col min="6" max="6" width="38" customWidth="1"/>
    <x:col min="7" max="7" width="38" customWidth="1"/>
    <x:col min="8" max="8" width="18" customWidth="1"/>
    <x:col min="9" max="9" width="14" customWidth="1"/>
    <x:col min="10" max="10" width="12" customWidth="1"/>
    <x:col min="11" max="11" width="12" customWidth="1"/>
    <x:col min="12" max="12" width="46" hidden="0" customWidth="1"/>
  </x:cols>
  <x:sheetData>
    <x:row r="1">
      <x:c r="A1" s="7" t="inlineStr">
        <x:is>
          <x:t xml:space="preserve">순서</x:t>
        </x:is>
      </x:c>
      <x:c r="B1" s="7" t="inlineStr">
        <x:is>
          <x:t xml:space="preserve">우선순위</x:t>
        </x:is>
      </x:c>
      <x:c r="C1" s="7" t="inlineStr">
        <x:is>
          <x:t xml:space="preserve">에픽</x:t>
        </x:is>
      </x:c>
      <x:c r="D1" s="7" t="inlineStr">
        <x:is>
          <x:t xml:space="preserve">Task ID</x:t>
        </x:is>
      </x:c>
      <x:c r="E1" s="7" t="inlineStr">
        <x:is>
          <x:t xml:space="preserve">태스크명</x:t>
        </x:is>
      </x:c>
      <x:c r="F1" s="7" t="inlineStr">
        <x:is>
          <x:t xml:space="preserve">상세 설명</x:t>
        </x:is>
      </x:c>
      <x:c r="G1" s="7" t="inlineStr">
        <x:is>
          <x:t xml:space="preserve">완료 기준</x:t>
        </x:is>
      </x:c>
      <x:c r="H1" s="7" t="inlineStr">
        <x:is>
          <x:t xml:space="preserve">선행 작업</x:t>
        </x:is>
      </x:c>
      <x:c r="I1" s="7" t="inlineStr">
        <x:is>
          <x:t xml:space="preserve">추천 스프린트</x:t>
        </x:is>
      </x:c>
      <x:c r="J1" s="7" t="str">
        <x:v>상태</x:v>
      </x:c>
      <x:c r="K1" s="7" t="inlineStr">
        <x:is>
          <x:t xml:space="preserve">난이도(1-5)</x:t>
        </x:is>
      </x:c>
      <x:c r="L1" s="7" t="str">
        <x:v>2026-10-13 확인 및 남은 작업</x:v>
      </x:c>
    </x:row>
    <x:row r="2" ht="72" customHeight="1">
      <x:c r="A2" s="8" t="n">
        <x:v>1</x:v>
      </x:c>
      <x:c r="B2" s="8" t="str">
        <x:v>P0</x:v>
      </x:c>
      <x:c r="C2" s="8" t="str">
        <x:v>프로젝트 초기 세팅</x:v>
      </x:c>
      <x:c r="D2" s="8" t="str">
        <x:v>T001</x:v>
      </x:c>
      <x:c r="E2" s="14" t="str">
        <x:v>FastAPI와 Next.js 기본 설정</x:v>
      </x:c>
      <x:c r="F2" s="14" t="str">
        <x:v>FastAPI app/main.py, CORS, /health와 Next.js 실행·빌드 설정을 관리한다.</x:v>
      </x:c>
      <x:c r="G2" s="14" t="str">
        <x:v>로컬 API 실행, /health 200, Next.js 빌드가 성공한다.</x:v>
      </x:c>
      <x:c r="H2" s="8"/>
      <x:c r="I2" s="8" t="str">
        <x:v>Sprint 1</x:v>
      </x:c>
      <x:c r="J2" s="8" t="str">
        <x:v>DONE</x:v>
      </x:c>
      <x:c r="K2" s="8" t="n">
        <x:v>1</x:v>
      </x:c>
      <x:c r="L2" s="14" t="str">
        <x:v>로컬 실행과 프로덕션 빌드 검증 완료.</x:v>
      </x:c>
    </x:row>
    <x:row r="3" ht="72" customHeight="1">
      <x:c r="A3" s="8" t="n">
        <x:v>2</x:v>
      </x:c>
      <x:c r="B3" s="8" t="str">
        <x:v>P0</x:v>
      </x:c>
      <x:c r="C3" s="8" t="str">
        <x:v>프로젝트 초기 세팅</x:v>
      </x:c>
      <x:c r="D3" s="8" t="str">
        <x:v>T002</x:v>
      </x:c>
      <x:c r="E3" s="14" t="str">
        <x:v>환경 설정 분리</x:v>
      </x:c>
      <x:c r="F3" s="14" t="str">
        <x:v>루트 .env는 Next.js, astune-backend/.env는 FastAPI 설정을 담당한다. ASTUNE_ASTRO_API_URL, ASTUNE_RULE_SOURCE, ASTRO_CATALOG_PATH, ASTRO_EPHEMERIS_PATH를 사용한다.</x:v>
      </x:c>
      <x:c r="G3" s="14" t="str">
        <x:v>환경 예제 파일과 실행 스크립트가 있고, 계산 데이터 경로를 backend 디렉터리 기준으로 읽는다.</x:v>
      </x:c>
      <x:c r="H3" s="8" t="str">
        <x:v>T001</x:v>
      </x:c>
      <x:c r="I3" s="8" t="str">
        <x:v>Sprint 1</x:v>
      </x:c>
      <x:c r="J3" s="8" t="str">
        <x:v>DONE</x:v>
      </x:c>
      <x:c r="K3" s="8" t="n">
        <x:v>2</x:v>
      </x:c>
      <x:c r="L3" s="14" t="str">
        <x:v>.env.example 2개와 uv 설정 완료. 배포 환경 검증은 T802에서 수행.</x:v>
      </x:c>
    </x:row>
    <x:row r="4" ht="72" customHeight="1">
      <x:c r="A4" s="8" t="n">
        <x:v>3</x:v>
      </x:c>
      <x:c r="B4" s="8" t="str">
        <x:v>P0</x:v>
      </x:c>
      <x:c r="C4" s="8" t="str">
        <x:v>프로젝트 초기 세팅</x:v>
      </x:c>
      <x:c r="D4" s="8" t="str">
        <x:v>T003</x:v>
      </x:c>
      <x:c r="E4" s="14" t="str">
        <x:v>공통 예외와 API 계약 정렬</x:v>
      </x:c>
      <x:c r="F4" s="14" t="str">
        <x:v>현재 Next.js의 ok 응답과 FastAPI의 success/data 응답을 구분해 문서화하고 공개 API 계약을 통일한다.</x:v>
      </x:c>
      <x:c r="G4" s="14" t="str">
        <x:v>공개 API 성공·오류 구조와 코드가 일관되고 두 서버의 오류가 추적된다.</x:v>
      </x:c>
      <x:c r="H4" s="8" t="str">
        <x:v>T001</x:v>
      </x:c>
      <x:c r="I4" s="8" t="str">
        <x:v>Sprint 1</x:v>
      </x:c>
      <x:c r="J4" s="8" t="str">
        <x:v>DOING</x:v>
      </x:c>
      <x:c r="K4" s="8" t="n">
        <x:v>2</x:v>
      </x:c>
      <x:c r="L4" s="14" t="str">
        <x:v>오류 전달·검증 구현. 응답 envelope와 일부 코드 통일 필요.</x:v>
      </x:c>
    </x:row>
    <x:row r="5" ht="72" customHeight="1">
      <x:c r="A5" s="8" t="n">
        <x:v>4</x:v>
      </x:c>
      <x:c r="B5" s="8" t="str">
        <x:v>P0</x:v>
      </x:c>
      <x:c r="C5" s="8" t="str">
        <x:v>천문 계산 코어</x:v>
      </x:c>
      <x:c r="D5" s="8" t="str">
        <x:v>T101</x:v>
      </x:c>
      <x:c r="E5" s="14" t="str">
        <x:v>밝은 별 카탈로그 확대</x:v>
      </x:c>
      <x:c r="F5" s="14" t="str">
        <x:v>공통 data/astro/bright-stars.json을 사용한다. 원천 성표를 정규화하고 검증된 bright subset을 생성한다.</x:v>
      </x:c>
      <x:c r="G5" s="14" t="str">
        <x:v>원천·버전·좌표·HIP ID를 검증한 정적 카탈로그를 외부 API 없이 읽는다.</x:v>
      </x:c>
      <x:c r="H5" s="8"/>
      <x:c r="I5" s="8" t="str">
        <x:v>Sprint 1</x:v>
      </x:c>
      <x:c r="J5" s="8" t="str">
        <x:v>DOING</x:v>
      </x:c>
      <x:c r="K5" s="8" t="n">
        <x:v>3</x:v>
      </x:c>
      <x:c r="L5" s="14" t="str">
        <x:v>현재 31개 샘플. 초기 300~500개 확대 검토, 운영 목표 등급 5.5의 범위·성능 확인 필요.</x:v>
      </x:c>
    </x:row>
    <x:row r="6" ht="72" customHeight="1">
      <x:c r="A6" s="8" t="n">
        <x:v>5</x:v>
      </x:c>
      <x:c r="B6" s="8" t="str">
        <x:v>P0</x:v>
      </x:c>
      <x:c r="C6" s="8" t="str">
        <x:v>천문 계산 코어</x:v>
      </x:c>
      <x:c r="D6" s="8" t="str">
        <x:v>T102</x:v>
      </x:c>
      <x:c r="E6" s="14" t="str">
        <x:v>천체력 준비와 시작 점검</x:v>
      </x:c>
      <x:c r="F6" s="14" t="str">
        <x:v>npm run backend:data로 de421.bsp를 준비하고 서버 시작 및 배포 시 파일과 날짜 범위를 검증한다.</x:v>
      </x:c>
      <x:c r="G6" s="14" t="str">
        <x:v>요청 중 다운로드가 없고, 서버 시작·배포 시 누락 파일을 확인한다.</x:v>
      </x:c>
      <x:c r="H6" s="8" t="str">
        <x:v>T001</x:v>
      </x:c>
      <x:c r="I6" s="8" t="str">
        <x:v>Sprint 1</x:v>
      </x:c>
      <x:c r="J6" s="8" t="str">
        <x:v>DOING</x:v>
      </x:c>
      <x:c r="K6" s="8" t="n">
        <x:v>2</x:v>
      </x:c>
      <x:c r="L6" s="14" t="str">
        <x:v>로컬 파일과 누락 오류 처리 완료. 시작 시 점검·배포 포함 검증 남음.</x:v>
      </x:c>
    </x:row>
    <x:row r="7" ht="72" customHeight="1">
      <x:c r="A7" s="8" t="n">
        <x:v>6</x:v>
      </x:c>
      <x:c r="B7" s="8" t="str">
        <x:v>P0</x:v>
      </x:c>
      <x:c r="C7" s="8" t="str">
        <x:v>천문 계산 코어</x:v>
      </x:c>
      <x:c r="D7" s="8" t="str">
        <x:v>T103</x:v>
      </x:c>
      <x:c r="E7" s="14" t="str">
        <x:v>출생지와 시간대 해석</x:v>
      </x:c>
      <x:c r="F7" s="14" t="str">
        <x:v>도시 사전과 좌표 입력을 지원하고 무료 지오코딩, 좌표 기반 시간대 추론, 위치 캐시를 보완한다.</x:v>
      </x:c>
      <x:c r="G7" s="14" t="str">
        <x:v>도시 또는 좌표로 위도·경도·시간대를 반환하고 실패 시 직접 입력을 안내한다.</x:v>
      </x:c>
      <x:c r="H7" s="8" t="str">
        <x:v>T001, T002</x:v>
      </x:c>
      <x:c r="I7" s="8" t="str">
        <x:v>Sprint 1</x:v>
      </x:c>
      <x:c r="J7" s="8" t="str">
        <x:v>DOING</x:v>
      </x:c>
      <x:c r="K7" s="8" t="n">
        <x:v>3</x:v>
      </x:c>
      <x:c r="L7" s="14" t="str">
        <x:v>도시 샘플 검색·좌표 입력 구현. timezonefinder·외부 fallback·TTL 캐시 미구현.</x:v>
      </x:c>
    </x:row>
    <x:row r="8" ht="72" customHeight="1">
      <x:c r="A8" s="8" t="n">
        <x:v>7</x:v>
      </x:c>
      <x:c r="B8" s="8" t="str">
        <x:v>P0</x:v>
      </x:c>
      <x:c r="C8" s="8" t="str">
        <x:v>천문 계산 코어</x:v>
      </x:c>
      <x:c r="D8" s="8" t="str">
        <x:v>T104</x:v>
      </x:c>
      <x:c r="E8" s="14" t="str">
        <x:v>현지 시각과 UTC 변환</x:v>
      </x:c>
      <x:c r="F8" s="14" t="str">
        <x:v>zoneinfo로 UTC를 계산하고 DST 누락·중복 시각을 판별한다. 중복 시각은 dstFold를 명시한다.</x:v>
      </x:c>
      <x:c r="G8" s="14" t="str">
        <x:v>정상 시간대와 DST 두 fold, 존재하지 않는 시각을 테스트한다.</x:v>
      </x:c>
      <x:c r="H8" s="8" t="str">
        <x:v>T002</x:v>
      </x:c>
      <x:c r="I8" s="8" t="str">
        <x:v>Sprint 1</x:v>
      </x:c>
      <x:c r="J8" s="8" t="str">
        <x:v>DONE</x:v>
      </x:c>
      <x:c r="K8" s="8" t="n">
        <x:v>2</x:v>
      </x:c>
      <x:c r="L8" s="14" t="str">
        <x:v>Python 테스트에서 UTC와 DST 경계 검증 완료.</x:v>
      </x:c>
    </x:row>
    <x:row r="9" ht="72" customHeight="1">
      <x:c r="A9" s="8" t="n">
        <x:v>8</x:v>
      </x:c>
      <x:c r="B9" s="8" t="str">
        <x:v>P0</x:v>
      </x:c>
      <x:c r="C9" s="8" t="str">
        <x:v>천문 계산 코어</x:v>
      </x:c>
      <x:c r="D9" s="8" t="str">
        <x:v>T105</x:v>
      </x:c>
      <x:c r="E9" s="14" t="str">
        <x:v>Skyfield 대표 별 계산</x:v>
      </x:c>
      <x:c r="F9" s="14" t="str">
        <x:v>관측자와 별의 겉보기 alt/az를 계산하고 밝기 제한 및 지평선 조건을 적용해 최대 고도 별을 선택한다.</x:v>
      </x:c>
      <x:c r="G9" s="14" t="str">
        <x:v>대표 별·성좌·고도·방위각·천정 거리·계산 메타가 안정적으로 반환된다.</x:v>
      </x:c>
      <x:c r="H9" s="8" t="str">
        <x:v>T101, T102, T104</x:v>
      </x:c>
      <x:c r="I9" s="8" t="str">
        <x:v>Sprint 1</x:v>
      </x:c>
      <x:c r="J9" s="8" t="str">
        <x:v>DONE</x:v>
      </x:c>
      <x:c r="K9" s="8" t="n">
        <x:v>5</x:v>
      </x:c>
      <x:c r="L9" s="14" t="str">
        <x:v>Capella HIP 24608 예제와 오류 경계 검증 완료. 현재 기본 최대 등급은 2.0.</x:v>
      </x:c>
    </x:row>
    <x:row r="10" ht="72" customHeight="1">
      <x:c r="A10" s="8" t="n">
        <x:v>9</x:v>
      </x:c>
      <x:c r="B10" s="8" t="str">
        <x:v>P0</x:v>
      </x:c>
      <x:c r="C10" s="8" t="str">
        <x:v>천문 계산 코어</x:v>
      </x:c>
      <x:c r="D10" s="8" t="str">
        <x:v>T106</x:v>
      </x:c>
      <x:c r="E10" s="14" t="str">
        <x:v>계산 성능과 캐시</x:v>
      </x:c>
      <x:c r="F10" s="14" t="str">
        <x:v>카탈로그·천체력 객체를 재사용하고 확대된 subset으로 응답 시간을 측정한다.</x:v>
      </x:c>
      <x:c r="G10" s="14" t="str">
        <x:v>반복 요청의 불필요한 파일 I/O를 줄이고 preview P95 2.5초 목표를 검증한다.</x:v>
      </x:c>
      <x:c r="H10" s="8" t="str">
        <x:v>T101, T105</x:v>
      </x:c>
      <x:c r="I10" s="8" t="str">
        <x:v>Sprint 2</x:v>
      </x:c>
      <x:c r="J10" s="8" t="str">
        <x:v>DOING</x:v>
      </x:c>
      <x:c r="K10" s="8" t="n">
        <x:v>3</x:v>
      </x:c>
      <x:c r="L10" s="14" t="str">
        <x:v>메모리 캐시 구현. 확대 데이터·동시 요청 성능 측정 남음.</x:v>
      </x:c>
    </x:row>
    <x:row r="11" ht="72" customHeight="1">
      <x:c r="A11" s="8" t="n">
        <x:v>10</x:v>
      </x:c>
      <x:c r="B11" s="8" t="str">
        <x:v>P0</x:v>
      </x:c>
      <x:c r="C11" s="8" t="str">
        <x:v>해석 엔진</x:v>
      </x:c>
      <x:c r="D11" s="8" t="str">
        <x:v>T201</x:v>
      </x:c>
      <x:c r="E11" s="14" t="str">
        <x:v>해석 규칙 모델 정렬</x:v>
      </x:c>
      <x:c r="F11" s="14" t="str">
        <x:v>Prisma RuleVersion·InterpretationRule과 메모리 규칙을 정렬한다. 별·성좌·전역 규칙과 활성 버전 1개 정책을 완성한다.</x:v>
      </x:c>
      <x:c r="G11" s="14" t="str">
        <x:v>게시 규칙만 선택하며 DB에서 범위·우선순위와 단일 활성 버전을 보장한다.</x:v>
      </x:c>
      <x:c r="H11" s="8"/>
      <x:c r="I11" s="8" t="str">
        <x:v>Sprint 1</x:v>
      </x:c>
      <x:c r="J11" s="8" t="str">
        <x:v>DOING</x:v>
      </x:c>
      <x:c r="K11" s="8" t="n">
        <x:v>3</x:v>
      </x:c>
      <x:c r="L11" s="14" t="str">
        <x:v>DB는 성좌 코드와 default 규칙 지원. 별 규칙·우선순위·동시 publish 보강 필요.</x:v>
      </x:c>
    </x:row>
    <x:row r="12" ht="72" customHeight="1">
      <x:c r="A12" s="8" t="n">
        <x:v>11</x:v>
      </x:c>
      <x:c r="B12" s="8" t="str">
        <x:v>P0</x:v>
      </x:c>
      <x:c r="C12" s="8" t="str">
        <x:v>해석 엔진</x:v>
      </x:c>
      <x:c r="D12" s="8" t="str">
        <x:v>T202</x:v>
      </x:c>
      <x:c r="E12" s="14" t="str">
        <x:v>기본 해석 규칙 확대</x:v>
      </x:c>
      <x:c r="F12" s="14" t="str">
        <x:v>성향·연애·일·재물의 최소 12개 성좌 또는 카테고리 규칙을 작성하고 검증한다.</x:v>
      </x:c>
      <x:c r="G12" s="14" t="str">
        <x:v>12개 이상 규칙과 공통 fallback이 있으며 게시 버전으로 실행된다.</x:v>
      </x:c>
      <x:c r="H12" s="8" t="str">
        <x:v>T201</x:v>
      </x:c>
      <x:c r="I12" s="8" t="str">
        <x:v>Sprint 1</x:v>
      </x:c>
      <x:c r="J12" s="8" t="str">
        <x:v>DOING</x:v>
      </x:c>
      <x:c r="K12" s="8" t="n">
        <x:v>3</x:v>
      </x:c>
      <x:c r="L12" s="14" t="str">
        <x:v>메모리 규칙 3개, DB seed 성좌 규칙 4개. 최소 범위 미달.</x:v>
      </x:c>
    </x:row>
    <x:row r="13" ht="72" customHeight="1">
      <x:c r="A13" s="8" t="n">
        <x:v>12</x:v>
      </x:c>
      <x:c r="B13" s="8" t="str">
        <x:v>P0</x:v>
      </x:c>
      <x:c r="C13" s="8" t="str">
        <x:v>해석 엔진</x:v>
      </x:c>
      <x:c r="D13" s="8" t="str">
        <x:v>T203</x:v>
      </x:c>
      <x:c r="E13" s="14" t="str">
        <x:v>TypeScript 해석 생성기</x:v>
      </x:c>
      <x:c r="F13" s="14" t="str">
        <x:v>src/lib/readings에서 대표 별과 게시 규칙으로 총평·성향·연애·일·재물, 점수 4개와 적용 규칙 ID를 생성한다.</x:v>
      </x:c>
      <x:c r="G13" s="14" t="str">
        <x:v>Next.js preview 결과에 구조화된 해석과 사람이 읽을 수 있는 문장이 포함된다.</x:v>
      </x:c>
      <x:c r="H13" s="8" t="str">
        <x:v>T105, T201, T202</x:v>
      </x:c>
      <x:c r="I13" s="8" t="str">
        <x:v>Sprint 1</x:v>
      </x:c>
      <x:c r="J13" s="8" t="str">
        <x:v>DONE</x:v>
      </x:c>
      <x:c r="K13" s="8" t="n">
        <x:v>4</x:v>
      </x:c>
      <x:c r="L13" s="14" t="str">
        <x:v>기본 규칙·DB 게시 규칙 반영과 화면 표시 검증 완료.</x:v>
      </x:c>
    </x:row>
    <x:row r="14" ht="72" customHeight="1">
      <x:c r="A14" s="8" t="n">
        <x:v>13</x:v>
      </x:c>
      <x:c r="B14" s="8" t="str">
        <x:v>P0</x:v>
      </x:c>
      <x:c r="C14" s="8" t="str">
        <x:v>공개 API</x:v>
      </x:c>
      <x:c r="D14" s="8" t="str">
        <x:v>T301</x:v>
      </x:c>
      <x:c r="E14" s="14" t="str">
        <x:v>위치 해석 API 정렬</x:v>
      </x:c>
      <x:c r="F14" s="14" t="str">
        <x:v>공개 위치 API를 POST /api/v1/locations/resolve 계약으로 맞추고 도시·국가·직접 좌표 입력을 정리한다.</x:v>
      </x:c>
      <x:c r="G14" s="14" t="str">
        <x:v>위치 후보와 시간대, 실패 시 직접 입력 안내를 단독 테스트한다.</x:v>
      </x:c>
      <x:c r="H14" s="8" t="str">
        <x:v>T103, T003</x:v>
      </x:c>
      <x:c r="I14" s="8" t="str">
        <x:v>Sprint 1</x:v>
      </x:c>
      <x:c r="J14" s="8" t="str">
        <x:v>DOING</x:v>
      </x:c>
      <x:c r="K14" s="8" t="n">
        <x:v>2</x:v>
      </x:c>
      <x:c r="L14" s="14" t="str">
        <x:v>현재 Next.js GET ?q= 검색만 제공. Python은 preview 내부 도시 해석 사용.</x:v>
      </x:c>
    </x:row>
    <x:row r="15" ht="72" customHeight="1">
      <x:c r="A15" s="8" t="n">
        <x:v>14</x:v>
      </x:c>
      <x:c r="B15" s="8" t="str">
        <x:v>P0</x:v>
      </x:c>
      <x:c r="C15" s="8" t="str">
        <x:v>공개 API</x:v>
      </x:c>
      <x:c r="D15" s="8" t="str">
        <x:v>T302</x:v>
      </x:c>
      <x:c r="E15" s="14" t="str">
        <x:v>통합 리딩 미리보기</x:v>
      </x:c>
      <x:c r="F15" s="14" t="str">
        <x:v>Next.js 공개 preview가 FastAPI 천문 계산을 호출한 뒤 TypeScript 해석을 결합한다.</x:v>
      </x:c>
      <x:c r="G15" s="14" t="str">
        <x:v>DB 영구 저장 없이 출생 입력부터 대표 별·해석·점수까지 화면과 JSON에서 확인한다.</x:v>
      </x:c>
      <x:c r="H15" s="8" t="str">
        <x:v>T103, T104, T105, T203, T003</x:v>
      </x:c>
      <x:c r="I15" s="8" t="str">
        <x:v>Sprint 1</x:v>
      </x:c>
      <x:c r="J15" s="8" t="str">
        <x:v>DONE</x:v>
      </x:c>
      <x:c r="K15" s="8" t="n">
        <x:v>5</x:v>
      </x:c>
      <x:c r="L15" s="14" t="str">
        <x:v>통합 경로 검증 완료. Python 단독 preview는 천문 결과만 반환.</x:v>
      </x:c>
    </x:row>
    <x:row r="16" ht="72" customHeight="1">
      <x:c r="A16" s="8" t="n">
        <x:v>15</x:v>
      </x:c>
      <x:c r="B16" s="8" t="str">
        <x:v>P0</x:v>
      </x:c>
      <x:c r="C16" s="8" t="str">
        <x:v>공개 API</x:v>
      </x:c>
      <x:c r="D16" s="8" t="str">
        <x:v>T303</x:v>
      </x:c>
      <x:c r="E16" s="14" t="str">
        <x:v>두 서버 API 문서 정리</x:v>
      </x:c>
      <x:c r="F16" s="14" t="str">
        <x:v>FastAPI /docs와 Next.js 공개 API의 실제 요청·응답, 오류 및 목표 계약 차이를 문서화한다.</x:v>
      </x:c>
      <x:c r="G16" s="14" t="str">
        <x:v>두 서버 역할과 필드가 구분되고 정상·오류 예제로 재현할 수 있다.</x:v>
      </x:c>
      <x:c r="H16" s="8" t="str">
        <x:v>T301, T302</x:v>
      </x:c>
      <x:c r="I16" s="8" t="str">
        <x:v>Sprint 2</x:v>
      </x:c>
      <x:c r="J16" s="8" t="str">
        <x:v>DOING</x:v>
      </x:c>
      <x:c r="K16" s="8" t="n">
        <x:v>1</x:v>
      </x:c>
      <x:c r="L16" s="14" t="str">
        <x:v>FastAPI /docs와 README 존재. 공개 API 계약 통일 후 문서·테스트 보강 필요.</x:v>
      </x:c>
    </x:row>
    <x:row r="17" ht="72" customHeight="1">
      <x:c r="A17" s="8" t="n">
        <x:v>16</x:v>
      </x:c>
      <x:c r="B17" s="8" t="str">
        <x:v>P1</x:v>
      </x:c>
      <x:c r="C17" s="8" t="str">
        <x:v>DB와 저장 기능</x:v>
      </x:c>
      <x:c r="D17" s="8" t="str">
        <x:v>T401</x:v>
      </x:c>
      <x:c r="E17" s="14" t="str">
        <x:v>Prisma 저장 스키마와 이관</x:v>
      </x:c>
      <x:c r="F17" s="14" t="str">
        <x:v>현재 Prisma/SQLite의 6개 모델을 기준으로 운영 PostgreSQL migration과 필요한 필드를 설계한다.</x:v>
      </x:c>
      <x:c r="G17" s="14" t="str">
        <x:v>기존 데이터를 보존하며 migration·rollback·seed를 검증한다.</x:v>
      </x:c>
      <x:c r="H17" s="8" t="str">
        <x:v>T001, T002</x:v>
      </x:c>
      <x:c r="I17" s="8" t="str">
        <x:v>Sprint 2</x:v>
      </x:c>
      <x:c r="J17" s="8" t="str">
        <x:v>DOING</x:v>
      </x:c>
      <x:c r="K17" s="8" t="n">
        <x:v>4</x:v>
      </x:c>
      <x:c r="L17" s="14" t="str">
        <x:v>기본 모델과 임시 DB 테스트 완료. SQLAlchemy/Alembic 병행 도입은 범위에서 제외.</x:v>
      </x:c>
    </x:row>
    <x:row r="18" ht="72" customHeight="1">
      <x:c r="A18" s="8" t="n">
        <x:v>17</x:v>
      </x:c>
      <x:c r="B18" s="8" t="str">
        <x:v>P1</x:v>
      </x:c>
      <x:c r="C18" s="8" t="str">
        <x:v>DB와 저장 기능</x:v>
      </x:c>
      <x:c r="D18" s="8" t="str">
        <x:v>T402</x:v>
      </x:c>
      <x:c r="E18" s="14" t="str">
        <x:v>출생 프로필 저장과 재사용</x:v>
      </x:c>
      <x:c r="F18" s="14" t="str">
        <x:v>현재 저장 코드를 로그인·소유권 검사와 연결하고 프로필 ID만으로 재사용하며 dstFold를 보존한다.</x:v>
      </x:c>
      <x:c r="G18" s="14" t="str">
        <x:v>본인 프로필 저장·재사용·입력 snapshot 복원이 검증된다.</x:v>
      </x:c>
      <x:c r="H18" s="8" t="str">
        <x:v>T401</x:v>
      </x:c>
      <x:c r="I18" s="8" t="str">
        <x:v>Sprint 2</x:v>
      </x:c>
      <x:c r="J18" s="8" t="str">
        <x:v>DOING</x:v>
      </x:c>
      <x:c r="K18" s="8" t="n">
        <x:v>2</x:v>
      </x:c>
      <x:c r="L18" s="14" t="str">
        <x:v>저장 코드 존재. 프로필 재사용·fold 저장·접근 제어 미완료.</x:v>
      </x:c>
    </x:row>
    <x:row r="19" ht="72" customHeight="1">
      <x:c r="A19" s="8" t="n">
        <x:v>18</x:v>
      </x:c>
      <x:c r="B19" s="8" t="str">
        <x:v>P1</x:v>
      </x:c>
      <x:c r="C19" s="8" t="str">
        <x:v>DB와 저장 기능</x:v>
      </x:c>
      <x:c r="D19" s="8" t="str">
        <x:v>T403</x:v>
      </x:c>
      <x:c r="E19" s="14" t="str">
        <x:v>리딩 저장과 상세 조회</x:v>
      </x:c>
      <x:c r="F19" s="14" t="str">
        <x:v>현재 저장 서비스의 전체 해석 JSON을 유지하고 인증·소유권 검사, 재조회 계약을 완성한다.</x:v>
      </x:c>
      <x:c r="G19" s="14" t="str">
        <x:v>로그인 사용자의 결과가 저장되며 본인 또는 허용된 관리자만 상세 조회한다.</x:v>
      </x:c>
      <x:c r="H19" s="8" t="str">
        <x:v>T401, T302</x:v>
      </x:c>
      <x:c r="I19" s="8" t="str">
        <x:v>Sprint 2</x:v>
      </x:c>
      <x:c r="J19" s="8" t="str">
        <x:v>DOING</x:v>
      </x:c>
      <x:c r="K19" s="8" t="n">
        <x:v>3</x:v>
      </x:c>
      <x:c r="L19" s="14" t="str">
        <x:v>저장 연결 완료. 상세 조회 인증·타인 프로필 연결 방지·전체 저장 테스트 필요.</x:v>
      </x:c>
    </x:row>
    <x:row r="20" ht="72" customHeight="1">
      <x:c r="A20" s="8" t="n">
        <x:v>19</x:v>
      </x:c>
      <x:c r="B20" s="8" t="str">
        <x:v>P1</x:v>
      </x:c>
      <x:c r="C20" s="8" t="str">
        <x:v>DB와 저장 기능</x:v>
      </x:c>
      <x:c r="D20" s="8" t="str">
        <x:v>T404</x:v>
      </x:c>
      <x:c r="E20" s="14" t="str">
        <x:v>내 리딩 목록</x:v>
      </x:c>
      <x:c r="F20" s="14" t="str">
        <x:v>사용자별 목록 API를 실제 로그인과 연결하고 페이지·pageSize·total을 지원한다.</x:v>
      </x:c>
      <x:c r="G20" s="14" t="str">
        <x:v>로그인한 사용자의 데이터만 페이지 단위로 조회한다.</x:v>
      </x:c>
      <x:c r="H20" s="8" t="str">
        <x:v>T403, T501</x:v>
      </x:c>
      <x:c r="I20" s="8" t="str">
        <x:v>Sprint 2</x:v>
      </x:c>
      <x:c r="J20" s="8" t="str">
        <x:v>DOING</x:v>
      </x:c>
      <x:c r="K20" s="8" t="n">
        <x:v>2</x:v>
      </x:c>
      <x:c r="L20" s="14" t="str">
        <x:v>현재 사용자 필터·최신 50개 조회 코드. 실제 세션·페이지 처리 미완료.</x:v>
      </x:c>
    </x:row>
    <x:row r="21" ht="72" customHeight="1">
      <x:c r="A21" s="8" t="n">
        <x:v>20</x:v>
      </x:c>
      <x:c r="B21" s="8" t="str">
        <x:v>P1</x:v>
      </x:c>
      <x:c r="C21" s="8" t="str">
        <x:v>인증/권한</x:v>
      </x:c>
      <x:c r="D21" s="8" t="str">
        <x:v>T501</x:v>
      </x:c>
      <x:c r="E21" s="14" t="str">
        <x:v>회원가입과 로그인</x:v>
      </x:c>
      <x:c r="F21" s="14" t="str">
        <x:v>Next.js의 실제 세션 인증과 Prisma User를 연결해 개발용 헤더 인증을 대체한다.</x:v>
      </x:c>
      <x:c r="G21" s="14" t="str">
        <x:v>서버가 검증한 세션으로 사용자를 식별하고 운영 환경에서 로그인할 수 있다.</x:v>
      </x:c>
      <x:c r="H21" s="8" t="str">
        <x:v>T401</x:v>
      </x:c>
      <x:c r="I21" s="8" t="str">
        <x:v>Sprint 3</x:v>
      </x:c>
      <x:c r="J21" s="8" t="str">
        <x:v>TODO</x:v>
      </x:c>
      <x:c r="K21" s="8" t="n">
        <x:v>4</x:v>
      </x:c>
      <x:c r="L21" s="14" t="str">
        <x:v>운영 인증 미구현. ASTUNE_ALLOW_DEV_AUTH는 기본 0이며 운영에서는 무효.</x:v>
      </x:c>
    </x:row>
    <x:row r="22" ht="72" customHeight="1">
      <x:c r="A22" s="8" t="n">
        <x:v>21</x:v>
      </x:c>
      <x:c r="B22" s="8" t="str">
        <x:v>P1</x:v>
      </x:c>
      <x:c r="C22" s="8" t="str">
        <x:v>인증/권한</x:v>
      </x:c>
      <x:c r="D22" s="8" t="str">
        <x:v>T502</x:v>
      </x:c>
      <x:c r="E22" s="14" t="str">
        <x:v>DB role 관리자 권한</x:v>
      </x:c>
      <x:c r="F22" s="14" t="str">
        <x:v>세션 확인 후 users.role을 조회해 ADMIN 권한을 검사한다. 이메일 설정은 초기 역할 부여에만 쓴다.</x:v>
      </x:c>
      <x:c r="G22" s="14" t="str">
        <x:v>사용자 입력 헤더로 권한을 만들 수 없고 일반 회원의 관리자 요청을 차단한다.</x:v>
      </x:c>
      <x:c r="H22" s="8" t="str">
        <x:v>T401, T501</x:v>
      </x:c>
      <x:c r="I22" s="8" t="str">
        <x:v>Sprint 3</x:v>
      </x:c>
      <x:c r="J22" s="8" t="str">
        <x:v>DOING</x:v>
      </x:c>
      <x:c r="K22" s="8" t="n">
        <x:v>3</x:v>
      </x:c>
      <x:c r="L22" s="14" t="str">
        <x:v>개발용 가드만 존재. 세션·DB role 조회와 401/403 테스트 필요.</x:v>
      </x:c>
    </x:row>
    <x:row r="23" ht="72" customHeight="1">
      <x:c r="A23" s="8" t="n">
        <x:v>22</x:v>
      </x:c>
      <x:c r="B23" s="8" t="str">
        <x:v>P1</x:v>
      </x:c>
      <x:c r="C23" s="8" t="str">
        <x:v>인증/권한</x:v>
      </x:c>
      <x:c r="D23" s="8" t="str">
        <x:v>T503</x:v>
      </x:c>
      <x:c r="E23" s="14" t="str">
        <x:v>관리자 규칙 운영</x:v>
      </x:c>
      <x:c r="F23" s="14" t="str">
        <x:v>규칙 버전 생성, 규칙 upsert, 검증 후 publish 및 이전 버전 비활성화를 구현한다.</x:v>
      </x:c>
      <x:c r="G23" s="14" t="str">
        <x:v>운영자가 규칙을 교체하고 동시 publish에도 활성 버전 1개를 유지한다.</x:v>
      </x:c>
      <x:c r="H23" s="8" t="str">
        <x:v>T401, T501, T502, T201</x:v>
      </x:c>
      <x:c r="I23" s="8" t="str">
        <x:v>Sprint 3</x:v>
      </x:c>
      <x:c r="J23" s="8" t="str">
        <x:v>DOING</x:v>
      </x:c>
      <x:c r="K23" s="8" t="n">
        <x:v>4</x:v>
      </x:c>
      <x:c r="L23" s="14" t="str">
        <x:v>생성·publish 구현. 현재 규칙은 create만 지원, 별 범위·upsert·publish 검증 보완 필요.</x:v>
      </x:c>
    </x:row>
    <x:row r="24" ht="72" customHeight="1">
      <x:c r="A24" s="8" t="n">
        <x:v>23</x:v>
      </x:c>
      <x:c r="B24" s="8" t="str">
        <x:v>P1</x:v>
      </x:c>
      <x:c r="C24" s="8" t="str">
        <x:v>인증/권한</x:v>
      </x:c>
      <x:c r="D24" s="8" t="str">
        <x:v>T504</x:v>
      </x:c>
      <x:c r="E24" s="14" t="str">
        <x:v>관리자 감사 기록</x:v>
      </x:c>
      <x:c r="F24" s="14" t="str">
        <x:v>규칙 변경과 감사 기록을 같은 트랜잭션으로 처리하고 변경 전후 값과 조회 권한을 추가한다.</x:v>
      </x:c>
      <x:c r="G24" s="14" t="str">
        <x:v>실패·성공이 일관되게 기록되며 누가 어떤 값을 바꿨는지 조회할 수 있다.</x:v>
      </x:c>
      <x:c r="H24" s="8" t="str">
        <x:v>T401, T502, T503</x:v>
      </x:c>
      <x:c r="I24" s="8" t="str">
        <x:v>Sprint 3</x:v>
      </x:c>
      <x:c r="J24" s="8" t="str">
        <x:v>DOING</x:v>
      </x:c>
      <x:c r="K24" s="8" t="n">
        <x:v>2</x:v>
      </x:c>
      <x:c r="L24" s="14" t="str">
        <x:v>생성·publish 감사 기록 존재. 변경 전후 snapshot·원자성·조회 보강 필요.</x:v>
      </x:c>
    </x:row>
    <x:row r="25" ht="72" customHeight="1">
      <x:c r="A25" s="8" t="n">
        <x:v>24</x:v>
      </x:c>
      <x:c r="B25" s="8" t="str">
        <x:v>P1</x:v>
      </x:c>
      <x:c r="C25" s="8" t="str">
        <x:v>안정성</x:v>
      </x:c>
      <x:c r="D25" s="8" t="str">
        <x:v>T601</x:v>
      </x:c>
      <x:c r="E25" s="14" t="str">
        <x:v>오류 정책 정렬</x:v>
      </x:c>
      <x:c r="F25" s="14" t="str">
        <x:v>시간대·DST·카탈로그·계산·규칙·인증 오류를 공개 계약에 맞추고 복구 안내를 제공한다.</x:v>
      </x:c>
      <x:c r="G25" s="14" t="str">
        <x:v>입력 오류와 시스템 오류가 구분되고 각 API의 코드·상태가 일관된다.</x:v>
      </x:c>
      <x:c r="H25" s="8" t="str">
        <x:v>T003</x:v>
      </x:c>
      <x:c r="I25" s="8" t="str">
        <x:v>Sprint 3</x:v>
      </x:c>
      <x:c r="J25" s="8" t="str">
        <x:v>DOING</x:v>
      </x:c>
      <x:c r="K25" s="8" t="n">
        <x:v>2</x:v>
      </x:c>
      <x:c r="L25" s="14" t="str">
        <x:v>핵심 계산 오류 테스트 완료. 두 서버 코드·HTTP 응답 통일 필요.</x:v>
      </x:c>
    </x:row>
    <x:row r="26" ht="72" customHeight="1">
      <x:c r="A26" s="8" t="n">
        <x:v>25</x:v>
      </x:c>
      <x:c r="B26" s="8" t="str">
        <x:v>P1</x:v>
      </x:c>
      <x:c r="C26" s="8" t="str">
        <x:v>안정성</x:v>
      </x:c>
      <x:c r="D26" s="8" t="str">
        <x:v>T602</x:v>
      </x:c>
      <x:c r="E26" s="14" t="str">
        <x:v>요청 추적과 처리 시간</x:v>
      </x:c>
      <x:c r="F26" s="14" t="str">
        <x:v>Next.js에서 FastAPI까지 요청 ID를 전달하고 처리 시간·계산 메타를 최소 범위로 기록한다.</x:v>
      </x:c>
      <x:c r="G26" s="14" t="str">
        <x:v>개인 출생 정보 노출을 줄이면서 두 서버 요청과 오류를 추적한다.</x:v>
      </x:c>
      <x:c r="H26" s="8" t="str">
        <x:v>T003</x:v>
      </x:c>
      <x:c r="I26" s="8" t="str">
        <x:v>Sprint 3</x:v>
      </x:c>
      <x:c r="J26" s="8" t="str">
        <x:v>DOING</x:v>
      </x:c>
      <x:c r="K26" s="8" t="n">
        <x:v>2</x:v>
      </x:c>
      <x:c r="L26" s="14" t="str">
        <x:v>FastAPI 요청 ID 미들웨어 존재. 서버 간 전달·단계별 시간 기록 필요.</x:v>
      </x:c>
    </x:row>
    <x:row r="27" ht="72" customHeight="1">
      <x:c r="A27" s="8" t="n">
        <x:v>26</x:v>
      </x:c>
      <x:c r="B27" s="8" t="str">
        <x:v>P1</x:v>
      </x:c>
      <x:c r="C27" s="8" t="str">
        <x:v>안정성</x:v>
      </x:c>
      <x:c r="D27" s="8" t="str">
        <x:v>T603</x:v>
      </x:c>
      <x:c r="E27" s="14" t="str">
        <x:v>입력 검증 보완</x:v>
      </x:c>
      <x:c r="F27" s="14" t="str">
        <x:v>미리보기 검증을 저장·프로필 입력에도 적용하고 미래 날짜·천체력 범위 정책을 명시한다.</x:v>
      </x:c>
      <x:c r="G27" s="14" t="str">
        <x:v>오프셋 시간·좌표·날짜·DST 오류가 저장을 포함한 모든 입력 경로에서 차단된다.</x:v>
      </x:c>
      <x:c r="H27" s="8" t="str">
        <x:v>T003, T301, T302</x:v>
      </x:c>
      <x:c r="I27" s="8" t="str">
        <x:v>Sprint 3</x:v>
      </x:c>
      <x:c r="J27" s="8" t="str">
        <x:v>DOING</x:v>
      </x:c>
      <x:c r="K27" s="8" t="n">
        <x:v>2</x:v>
      </x:c>
      <x:c r="L27" s="14" t="str">
        <x:v>preview 검증 완료. 저장 경로 DST 검증과 미래 날짜 정책 남음.</x:v>
      </x:c>
    </x:row>
    <x:row r="28" ht="72" customHeight="1">
      <x:c r="A28" s="8" t="n">
        <x:v>27</x:v>
      </x:c>
      <x:c r="B28" s="8" t="str">
        <x:v>P1</x:v>
      </x:c>
      <x:c r="C28" s="8" t="str">
        <x:v>테스트</x:v>
      </x:c>
      <x:c r="D28" s="8" t="str">
        <x:v>T701</x:v>
      </x:c>
      <x:c r="E28" s="14" t="str">
        <x:v>핵심 모듈 테스트</x:v>
      </x:c>
      <x:c r="F28" s="14" t="str">
        <x:v>시간 변환·대표 별 계산·규칙 적용·API 어댑터·DB 게시 규칙을 자동 검증한다.</x:v>
      </x:c>
      <x:c r="G28" s="14" t="str">
        <x:v>현재 핵심 테스트가 재현 가능한 환경에서 통과한다.</x:v>
      </x:c>
      <x:c r="H28" s="8" t="str">
        <x:v>T103, T104, T105, T203</x:v>
      </x:c>
      <x:c r="I28" s="8" t="str">
        <x:v>Sprint 3</x:v>
      </x:c>
      <x:c r="J28" s="8" t="str">
        <x:v>DONE</x:v>
      </x:c>
      <x:c r="K28" s="8" t="n">
        <x:v>3</x:v>
      </x:c>
      <x:c r="L28" s="14" t="str">
        <x:v>Python 21개 + TypeScript 7개 통과. 추가 기능마다 테스트 확대.</x:v>
      </x:c>
    </x:row>
    <x:row r="29" ht="72" customHeight="1">
      <x:c r="A29" s="8" t="n">
        <x:v>28</x:v>
      </x:c>
      <x:c r="B29" s="8" t="str">
        <x:v>P1</x:v>
      </x:c>
      <x:c r="C29" s="8" t="str">
        <x:v>테스트</x:v>
      </x:c>
      <x:c r="D29" s="8" t="str">
        <x:v>T702</x:v>
      </x:c>
      <x:c r="E29" s="14" t="str">
        <x:v>저장과 권한 통합 테스트</x:v>
      </x:c>
      <x:c r="F29" s="14" t="str">
        <x:v>위치·preview·저장·목록·관리자 경로의 계약과 인증·소유권을 자동 검증한다.</x:v>
      </x:c>
      <x:c r="G29" s="14" t="str">
        <x:v>정상 경로와 비로그인·타인 접근·잘못된 입력·게시 규칙 교체를 검증한다.</x:v>
      </x:c>
      <x:c r="H29" s="8" t="str">
        <x:v>T301, T302, T403</x:v>
      </x:c>
      <x:c r="I29" s="8" t="str">
        <x:v>Sprint 3</x:v>
      </x:c>
      <x:c r="J29" s="8" t="str">
        <x:v>DOING</x:v>
      </x:c>
      <x:c r="K29" s="8" t="n">
        <x:v>3</x:v>
      </x:c>
      <x:c r="L29" s="14" t="str">
        <x:v>preview·DB 규칙·브라우저 검증 완료. 저장·인증·관리자 흐름 남음.</x:v>
      </x:c>
    </x:row>
    <x:row r="30" ht="72" customHeight="1">
      <x:c r="A30" s="8" t="n">
        <x:v>29</x:v>
      </x:c>
      <x:c r="B30" s="8" t="str">
        <x:v>P2</x:v>
      </x:c>
      <x:c r="C30" s="8" t="str">
        <x:v>배포/운영</x:v>
      </x:c>
      <x:c r="D30" s="8" t="str">
        <x:v>T801</x:v>
      </x:c>
      <x:c r="E30" s="14" t="str">
        <x:v>로컬 환경 재현</x:v>
      </x:c>
      <x:c r="F30" s="14" t="str">
        <x:v>npm·uv·정적 천체력·Prisma seed 절차를 유지하고 PostgreSQL 선택 환경을 추가한다.</x:v>
      </x:c>
      <x:c r="G30" s="14" t="str">
        <x:v>새 환경에서 두 서버와 데이터 준비가 재현되고 운영 DB 이관을 시험한다.</x:v>
      </x:c>
      <x:c r="H30" s="8" t="str">
        <x:v>T401</x:v>
      </x:c>
      <x:c r="I30" s="8" t="str">
        <x:v>Sprint 4</x:v>
      </x:c>
      <x:c r="J30" s="8" t="str">
        <x:v>DOING</x:v>
      </x:c>
      <x:c r="K30" s="8" t="n">
        <x:v>2</x:v>
      </x:c>
      <x:c r="L30" s="14" t="str">
        <x:v>README·npm 명령·uv lock 완료. PostgreSQL/Docker Compose 검증 남음.</x:v>
      </x:c>
    </x:row>
    <x:row r="31" ht="72" customHeight="1">
      <x:c r="A31" s="8" t="n">
        <x:v>30</x:v>
      </x:c>
      <x:c r="B31" s="8" t="str">
        <x:v>P2</x:v>
      </x:c>
      <x:c r="C31" s="8" t="str">
        <x:v>배포/운영</x:v>
      </x:c>
      <x:c r="D31" s="8" t="str">
        <x:v>T802</x:v>
      </x:c>
      <x:c r="E31" s="14" t="str">
        <x:v>프런트와 계산 서버 배포</x:v>
      </x:c>
      <x:c r="F31" s="14" t="str">
        <x:v>Next.js와 FastAPI를 각각 배포할 무료 운영 구성을 검토하고 정적 데이터·환경 변수를 준비한다.</x:v>
      </x:c>
      <x:c r="G31" s="14" t="str">
        <x:v>정적 천체력·카탈로그가 포함되고 두 서버 연결·DB·인증을 검증한다.</x:v>
      </x:c>
      <x:c r="H31" s="8" t="str">
        <x:v>T401, T302</x:v>
      </x:c>
      <x:c r="I31" s="8" t="str">
        <x:v>Sprint 4</x:v>
      </x:c>
      <x:c r="J31" s="8" t="str">
        <x:v>TODO</x:v>
      </x:c>
      <x:c r="K31" s="8" t="n">
        <x:v>3</x:v>
      </x:c>
      <x:c r="L31" s="14" t="str">
        <x:v>호스팅 미선정·미배포. 서비스별 무료 한도와 파일 용량을 배포 시 확인.</x:v>
      </x:c>
    </x:row>
    <x:row r="32" ht="72" customHeight="1">
      <x:c r="A32" s="8" t="n">
        <x:v>31</x:v>
      </x:c>
      <x:c r="B32" s="8" t="str">
        <x:v>P2</x:v>
      </x:c>
      <x:c r="C32" s="8" t="str">
        <x:v>배포/운영</x:v>
      </x:c>
      <x:c r="D32" s="8" t="str">
        <x:v>T803</x:v>
      </x:c>
      <x:c r="E32" s="14" t="str">
        <x:v>배포 후 전체 흐름 점검</x:v>
      </x:c>
      <x:c r="F32" s="14" t="str">
        <x:v>실제 배포 URL에서 preview·저장·권한·DB·데이터 파일·응답 시간을 점검한다.</x:v>
      </x:c>
      <x:c r="G32" s="14" t="str">
        <x:v>배포 환경에서 정상·오류·권한 흐름과 성능 목표를 확인한다.</x:v>
      </x:c>
      <x:c r="H32" s="8" t="str">
        <x:v>T802</x:v>
      </x:c>
      <x:c r="I32" s="8" t="str">
        <x:v>Sprint 4</x:v>
      </x:c>
      <x:c r="J32" s="8" t="str">
        <x:v>TODO</x:v>
      </x:c>
      <x:c r="K32" s="8" t="n">
        <x:v>2</x:v>
      </x:c>
      <x:c r="L32" s="14" t="str">
        <x:v>로컬 검증만 완료. 배포 후 검증은 미실시.</x:v>
      </x:c>
    </x:row>
  </x:sheetData>
  <x:conditionalFormatting sqref="B2:B32">
    <x:cfRule type="expression" dxfId="0" priority="1">
      <x:formula>$B2="P0"</x:formula>
    </x:cfRule>
    <x:cfRule type="expression" dxfId="1" priority="2">
      <x:formula>$B2="P1"</x:formula>
    </x:cfRule>
    <x:cfRule type="expression" dxfId="2" priority="3">
      <x:formula>$B2="P2"</x:formula>
    </x:cfRule>
  </x:conditionalFormatting>
  <x:conditionalFormatting sqref="J2:J32">
    <x:cfRule type="expression" dxfId="3" priority="4">
      <x:formula>$J2="TODO"</x:formula>
    </x:cfRule>
    <x:cfRule type="expression" dxfId="4" priority="5">
      <x:formula>$J2="DOING"</x:formula>
    </x:cfRule>
    <x:cfRule type="expression" dxfId="5" priority="6">
      <x:formula>$J2="DONE"</x:formula>
    </x:cfRule>
    <x:cfRule type="expression" dxfId="0" priority="7">
      <x:formula>$J2="BLOCKED"</x:formula>
    </x:cfRule>
    <x:cfRule type="expression" dxfId="6" priority="8">
      <x:formula>$J2="LATER"</x:formula>
    </x:cfRule>
  </x:conditionalFormatting>
  <x:dataValidations count="3">
    <x:dataValidation type="list" allowBlank="0" showDropDown="0" showInputMessage="0" showErrorMessage="0" sqref="B2:B32">
      <x:formula1>"P0,P1,P2"</x:formula1>
    </x:dataValidation>
    <x:dataValidation type="list" allowBlank="0" showDropDown="0" showInputMessage="0" showErrorMessage="0" sqref="I2:I32">
      <x:formula1>"Sprint 1,Sprint 2,Sprint 3,Sprint 4,Later"</x:formula1>
    </x:dataValidation>
    <x:dataValidation type="list" allowBlank="0" showDropDown="0" showInputMessage="0" showErrorMessage="0" sqref="J2:J32">
      <x:formula1>"TODO,DOING,DONE,BLOCKED"</x:formula1>
    </x:dataValidation>
  </x:dataValidations>
  <x:pageMargins left="0.7" right="0.7" top="0.75" bottom="0.75" header="0.3" footer="0.3"/>
  <x:legacyDrawing xmlns:r="http://schemas.openxmlformats.org/officeDocument/2006/relationships" r:id="Ra07bf1bc501e4a6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6" customWidth="1"/>
  </x:cols>
  <x:sheetData>
    <x:row r="1" ht="32" customHeight="1">
      <x:c r="A1" s="28" t="str">
        <x:v>Astune 개발 진행 현황</x:v>
      </x:c>
      <x:c r="B1" s="33"/>
      <x:c r="C1" s="33"/>
      <x:c r="D1" s="33"/>
      <x:c r="E1" s="33"/>
      <x:c r="F1" s="33"/>
      <x:c r="G1" s="33"/>
      <x:c r="H1" s="34"/>
    </x:row>
    <x:row r="2">
      <x:c r="A2" s="17"/>
      <x:c r="B2" s="17"/>
      <x:c r="C2" s="17"/>
      <x:c r="D2" s="17"/>
      <x:c r="E2" s="17"/>
      <x:c r="F2" s="17"/>
      <x:c r="G2" s="17"/>
    </x:row>
    <x:row r="3" ht="20" customHeight="1">
      <x:c r="A3" s="35" t="str">
        <x:v>2026-10-13 코드와 로컬 검증 기준</x:v>
      </x:c>
      <x:c r="B3" s="33"/>
      <x:c r="C3" s="33"/>
      <x:c r="D3" s="33"/>
      <x:c r="E3" s="33"/>
      <x:c r="F3" s="33"/>
      <x:c r="G3" s="33"/>
      <x:c r="H3" s="34"/>
    </x:row>
    <x:row r="4">
      <x:c r="A4" s="15" t="inlineStr">
        <x:is>
          <x:t xml:space="preserve">전체 태스크 수</x:t>
        </x:is>
      </x:c>
      <x:c r="B4" s="23" t="n">
        <x:f>COUNTA(Tasks!$D$2:$D$200)</x:f>
        <x:v>31</x:v>
      </x:c>
      <x:c r="C4" s="17"/>
      <x:c r="D4" s="17"/>
      <x:c r="E4" s="17"/>
      <x:c r="F4" s="17"/>
      <x:c r="G4" s="17"/>
    </x:row>
    <x:row r="5">
      <x:c r="A5" s="15" t="inlineStr">
        <x:is>
          <x:t xml:space="preserve">완료</x:t>
        </x:is>
      </x:c>
      <x:c r="B5" s="23" t="n">
        <x:f>COUNTIF(Tasks!$J$2:$J$200,"DONE")</x:f>
        <x:v>7</x:v>
      </x:c>
      <x:c r="C5" s="17"/>
      <x:c r="D5" s="17"/>
      <x:c r="E5" s="17"/>
      <x:c r="F5" s="17"/>
      <x:c r="G5" s="17"/>
    </x:row>
    <x:row r="6">
      <x:c r="A6" s="15" t="str">
        <x:v>부분 구현</x:v>
      </x:c>
      <x:c r="B6" s="23" t="n">
        <x:f>COUNTIF(Tasks!$J$2:$J$200,"DOING")</x:f>
        <x:v>21</x:v>
      </x:c>
      <x:c r="C6" s="17"/>
      <x:c r="D6" s="17"/>
      <x:c r="E6" s="17"/>
      <x:c r="F6" s="17"/>
      <x:c r="G6" s="17"/>
    </x:row>
    <x:row r="7">
      <x:c r="A7" s="15" t="inlineStr">
        <x:is>
          <x:t xml:space="preserve">보류/막힘</x:t>
        </x:is>
      </x:c>
      <x:c r="B7" s="23" t="n">
        <x:f>COUNTIF(Tasks!$J$2:$J$200,"BLOCKED")</x:f>
        <x:v>0</x:v>
      </x:c>
      <x:c r="C7" s="17"/>
      <x:c r="D7" s="17"/>
      <x:c r="E7" s="17"/>
      <x:c r="F7" s="17"/>
      <x:c r="G7" s="17"/>
    </x:row>
    <x:row r="8">
      <x:c r="A8" s="15" t="inlineStr">
        <x:is>
          <x:t xml:space="preserve">남음</x:t>
        </x:is>
      </x:c>
      <x:c r="B8" s="23" t="n">
        <x:f>B4-B5</x:f>
        <x:v>24</x:v>
      </x:c>
      <x:c r="C8" s="17"/>
      <x:c r="D8" s="17"/>
      <x:c r="E8" s="17"/>
      <x:c r="F8" s="17"/>
      <x:c r="G8" s="17"/>
    </x:row>
    <x:row r="9">
      <x:c r="A9" s="15" t="inlineStr">
        <x:is>
          <x:t xml:space="preserve">진행률</x:t>
        </x:is>
      </x:c>
      <x:c r="B9" s="24" t="n">
        <x:f>IF(B4=0,0,B5/B4)</x:f>
        <x:v>0.22580645161290322</x:v>
      </x:c>
      <x:c r="C9" s="17"/>
      <x:c r="D9" s="17"/>
      <x:c r="E9" s="17"/>
      <x:c r="F9" s="17"/>
      <x:c r="G9" s="17"/>
    </x:row>
    <x:row r="10">
      <x:c r="A10" s="17"/>
      <x:c r="B10" s="17"/>
      <x:c r="C10" s="17"/>
      <x:c r="D10" s="17"/>
      <x:c r="E10" s="17"/>
      <x:c r="F10" s="17"/>
      <x:c r="G10" s="17"/>
    </x:row>
    <x:row r="11" ht="20" customHeight="1">
      <x:c r="A11" s="35" t="inlineStr">
        <x:is>
          <x:t xml:space="preserve">우선순위별 집계</x:t>
        </x:is>
      </x:c>
      <x:c r="B11" s="33"/>
      <x:c r="C11" s="33"/>
      <x:c r="D11" s="33"/>
      <x:c r="E11" s="33"/>
      <x:c r="F11" s="33"/>
      <x:c r="G11" s="33"/>
      <x:c r="H11" s="34"/>
    </x:row>
    <x:row r="12">
      <x:c r="A12" s="22" t="inlineStr">
        <x:is>
          <x:t xml:space="preserve">우선순위</x:t>
        </x:is>
      </x:c>
      <x:c r="B12" s="22" t="inlineStr">
        <x:is>
          <x:t xml:space="preserve">전체</x:t>
        </x:is>
      </x:c>
      <x:c r="C12" s="22" t="inlineStr">
        <x:is>
          <x:t xml:space="preserve">TODO</x:t>
        </x:is>
      </x:c>
      <x:c r="D12" s="22" t="str">
        <x:v>부분 구현</x:v>
      </x:c>
      <x:c r="E12" s="22" t="inlineStr">
        <x:is>
          <x:t xml:space="preserve">DONE</x:t>
        </x:is>
      </x:c>
      <x:c r="F12" s="22" t="inlineStr">
        <x:is>
          <x:t xml:space="preserve">BLOCKED</x:t>
        </x:is>
      </x:c>
      <x:c r="G12" s="22" t="inlineStr">
        <x:is>
          <x:t xml:space="preserve">진행률</x:t>
        </x:is>
      </x:c>
    </x:row>
    <x:row r="13">
      <x:c r="A13" s="20" t="inlineStr">
        <x:is>
          <x:t xml:space="preserve">P0</x:t>
        </x:is>
      </x:c>
      <x:c r="B13" s="25" t="n">
        <x:f>COUNTIF(Tasks!$B$2:$B$200,A13)</x:f>
        <x:v>15</x:v>
      </x:c>
      <x:c r="C13" s="25" t="n">
        <x:f>COUNTIFS(Tasks!$B$2:$B$200,$A13,Tasks!$J$2:$J$200,"TODO")</x:f>
        <x:v>0</x:v>
      </x:c>
      <x:c r="D13" s="25" t="n">
        <x:f>COUNTIFS(Tasks!$B$2:$B$200,$A13,Tasks!$J$2:$J$200,"DOING")</x:f>
        <x:v>9</x:v>
      </x:c>
      <x:c r="E13" s="25" t="n">
        <x:f>COUNTIFS(Tasks!$B$2:$B$200,$A13,Tasks!$J$2:$J$200,"DONE")</x:f>
        <x:v>6</x:v>
      </x:c>
      <x:c r="F13" s="25" t="n">
        <x:f>COUNTIFS(Tasks!$B$2:$B$200,$A13,Tasks!$J$2:$J$200,"BLOCKED")</x:f>
        <x:v>0</x:v>
      </x:c>
      <x:c r="G13" s="26" t="n">
        <x:f>IF(B13=0,0,E13/B13)</x:f>
        <x:v>0.4</x:v>
      </x:c>
    </x:row>
    <x:row r="14">
      <x:c r="A14" s="20" t="inlineStr">
        <x:is>
          <x:t xml:space="preserve">P1</x:t>
        </x:is>
      </x:c>
      <x:c r="B14" s="25" t="n">
        <x:f>COUNTIF(Tasks!$B$2:$B$200,A14)</x:f>
        <x:v>13</x:v>
      </x:c>
      <x:c r="C14" s="25" t="n">
        <x:f>COUNTIFS(Tasks!$B$2:$B$200,$A14,Tasks!$J$2:$J$200,"TODO")</x:f>
        <x:v>1</x:v>
      </x:c>
      <x:c r="D14" s="25" t="n">
        <x:f>COUNTIFS(Tasks!$B$2:$B$200,$A14,Tasks!$J$2:$J$200,"DOING")</x:f>
        <x:v>11</x:v>
      </x:c>
      <x:c r="E14" s="25" t="n">
        <x:f>COUNTIFS(Tasks!$B$2:$B$200,$A14,Tasks!$J$2:$J$200,"DONE")</x:f>
        <x:v>1</x:v>
      </x:c>
      <x:c r="F14" s="25" t="n">
        <x:f>COUNTIFS(Tasks!$B$2:$B$200,$A14,Tasks!$J$2:$J$200,"BLOCKED")</x:f>
        <x:v>0</x:v>
      </x:c>
      <x:c r="G14" s="26" t="n">
        <x:f>IF(B14=0,0,E14/B14)</x:f>
        <x:v>0.07692307692307693</x:v>
      </x:c>
    </x:row>
    <x:row r="15">
      <x:c r="A15" s="20" t="inlineStr">
        <x:is>
          <x:t xml:space="preserve">P2</x:t>
        </x:is>
      </x:c>
      <x:c r="B15" s="25" t="n">
        <x:f>COUNTIF(Tasks!$B$2:$B$200,A15)</x:f>
        <x:v>3</x:v>
      </x:c>
      <x:c r="C15" s="25" t="n">
        <x:f>COUNTIFS(Tasks!$B$2:$B$200,$A15,Tasks!$J$2:$J$200,"TODO")</x:f>
        <x:v>2</x:v>
      </x:c>
      <x:c r="D15" s="25" t="n">
        <x:f>COUNTIFS(Tasks!$B$2:$B$200,$A15,Tasks!$J$2:$J$200,"DOING")</x:f>
        <x:v>1</x:v>
      </x:c>
      <x:c r="E15" s="25" t="n">
        <x:f>COUNTIFS(Tasks!$B$2:$B$200,$A15,Tasks!$J$2:$J$200,"DONE")</x:f>
        <x:v>0</x:v>
      </x:c>
      <x:c r="F15" s="25" t="n">
        <x:f>COUNTIFS(Tasks!$B$2:$B$200,$A15,Tasks!$J$2:$J$200,"BLOCKED")</x:f>
        <x:v>0</x:v>
      </x:c>
      <x:c r="G15" s="26" t="n">
        <x:f>IF(B15=0,0,E15/B15)</x:f>
        <x:v>0</x:v>
      </x:c>
    </x:row>
    <x:row r="16">
      <x:c r="A16" s="17"/>
      <x:c r="B16" s="27" t="n"/>
      <x:c r="C16" s="27" t="n"/>
      <x:c r="D16" s="27" t="n"/>
      <x:c r="E16" s="27" t="n"/>
      <x:c r="F16" s="27" t="n"/>
      <x:c r="G16" s="27" t="n"/>
    </x:row>
    <x:row r="17">
      <x:c r="A17" s="17"/>
      <x:c r="B17" s="27" t="n"/>
      <x:c r="C17" s="27" t="n"/>
      <x:c r="D17" s="27" t="n"/>
      <x:c r="E17" s="27" t="n"/>
      <x:c r="F17" s="27" t="n"/>
      <x:c r="G17" s="27" t="n"/>
    </x:row>
    <x:row r="18" ht="20" customHeight="1">
      <x:c r="A18" s="35" t="inlineStr">
        <x:is>
          <x:t xml:space="preserve">에픽별 집계</x:t>
        </x:is>
      </x:c>
      <x:c r="B18" s="38" t="n"/>
      <x:c r="C18" s="38" t="n"/>
      <x:c r="D18" s="38" t="n"/>
      <x:c r="E18" s="38" t="n"/>
      <x:c r="F18" s="38" t="n"/>
      <x:c r="G18" s="38" t="n"/>
      <x:c r="H18" s="34"/>
    </x:row>
    <x:row r="19">
      <x:c r="A19" s="22" t="inlineStr">
        <x:is>
          <x:t xml:space="preserve">에픽</x:t>
        </x:is>
      </x:c>
      <x:c r="B19" s="22" t="inlineStr">
        <x:is>
          <x:t xml:space="preserve">전체</x:t>
        </x:is>
      </x:c>
      <x:c r="C19" s="22" t="inlineStr">
        <x:is>
          <x:t xml:space="preserve">DONE</x:t>
        </x:is>
      </x:c>
      <x:c r="D19" s="22" t="inlineStr">
        <x:is>
          <x:t xml:space="preserve">남음</x:t>
        </x:is>
      </x:c>
      <x:c r="E19" s="27" t="n"/>
      <x:c r="F19" s="27" t="n"/>
      <x:c r="G19" s="27" t="n"/>
    </x:row>
    <x:row r="20">
      <x:c r="A20" s="20" t="inlineStr">
        <x:is>
          <x:t xml:space="preserve">프로젝트 초기 세팅</x:t>
        </x:is>
      </x:c>
      <x:c r="B20" s="25" t="n">
        <x:f>COUNTIF(Tasks!$C$2:$C$200,A20)</x:f>
        <x:v>3</x:v>
      </x:c>
      <x:c r="C20" s="25" t="n">
        <x:f>COUNTIFS(Tasks!$C$2:$C$200,$A20,Tasks!$J$2:$J$200,"DONE")</x:f>
        <x:v>2</x:v>
      </x:c>
      <x:c r="D20" s="25" t="n">
        <x:f>B20-C20</x:f>
        <x:v>1</x:v>
      </x:c>
      <x:c r="E20" s="27" t="n"/>
      <x:c r="F20" s="27" t="n"/>
      <x:c r="G20" s="27" t="n"/>
    </x:row>
    <x:row r="21">
      <x:c r="A21" s="20" t="inlineStr">
        <x:is>
          <x:t xml:space="preserve">천문 계산 코어</x:t>
        </x:is>
      </x:c>
      <x:c r="B21" s="25" t="n">
        <x:f>COUNTIF(Tasks!$C$2:$C$200,A21)</x:f>
        <x:v>6</x:v>
      </x:c>
      <x:c r="C21" s="25" t="n">
        <x:f>COUNTIFS(Tasks!$C$2:$C$200,$A21,Tasks!$J$2:$J$200,"DONE")</x:f>
        <x:v>2</x:v>
      </x:c>
      <x:c r="D21" s="25" t="n">
        <x:f>B21-C21</x:f>
        <x:v>4</x:v>
      </x:c>
      <x:c r="E21" s="27" t="n"/>
      <x:c r="F21" s="27" t="n"/>
      <x:c r="G21" s="27" t="n"/>
    </x:row>
    <x:row r="22">
      <x:c r="A22" s="20" t="inlineStr">
        <x:is>
          <x:t xml:space="preserve">해석 엔진</x:t>
        </x:is>
      </x:c>
      <x:c r="B22" s="25" t="n">
        <x:f>COUNTIF(Tasks!$C$2:$C$200,A22)</x:f>
        <x:v>3</x:v>
      </x:c>
      <x:c r="C22" s="25" t="n">
        <x:f>COUNTIFS(Tasks!$C$2:$C$200,$A22,Tasks!$J$2:$J$200,"DONE")</x:f>
        <x:v>1</x:v>
      </x:c>
      <x:c r="D22" s="25" t="n">
        <x:f>B22-C22</x:f>
        <x:v>2</x:v>
      </x:c>
      <x:c r="E22" s="27" t="n"/>
      <x:c r="F22" s="27" t="n"/>
      <x:c r="G22" s="27" t="n"/>
    </x:row>
    <x:row r="23">
      <x:c r="A23" s="20" t="inlineStr">
        <x:is>
          <x:t xml:space="preserve">공개 API</x:t>
        </x:is>
      </x:c>
      <x:c r="B23" s="25" t="n">
        <x:f>COUNTIF(Tasks!$C$2:$C$200,A23)</x:f>
        <x:v>3</x:v>
      </x:c>
      <x:c r="C23" s="25" t="n">
        <x:f>COUNTIFS(Tasks!$C$2:$C$200,$A23,Tasks!$J$2:$J$200,"DONE")</x:f>
        <x:v>1</x:v>
      </x:c>
      <x:c r="D23" s="25" t="n">
        <x:f>B23-C23</x:f>
        <x:v>2</x:v>
      </x:c>
      <x:c r="E23" s="27" t="n"/>
      <x:c r="F23" s="27" t="n"/>
      <x:c r="G23" s="27" t="n"/>
    </x:row>
    <x:row r="24">
      <x:c r="A24" s="20" t="inlineStr">
        <x:is>
          <x:t xml:space="preserve">DB와 저장 기능</x:t>
        </x:is>
      </x:c>
      <x:c r="B24" s="25" t="n">
        <x:f>COUNTIF(Tasks!$C$2:$C$200,A24)</x:f>
        <x:v>4</x:v>
      </x:c>
      <x:c r="C24" s="25" t="n">
        <x:f>COUNTIFS(Tasks!$C$2:$C$200,$A24,Tasks!$J$2:$J$200,"DONE")</x:f>
        <x:v>0</x:v>
      </x:c>
      <x:c r="D24" s="25" t="n">
        <x:f>B24-C24</x:f>
        <x:v>4</x:v>
      </x:c>
      <x:c r="E24" s="27" t="n"/>
      <x:c r="F24" s="27" t="n"/>
      <x:c r="G24" s="27" t="n"/>
    </x:row>
    <x:row r="25">
      <x:c r="A25" s="20" t="inlineStr">
        <x:is>
          <x:t xml:space="preserve">인증/권한</x:t>
        </x:is>
      </x:c>
      <x:c r="B25" s="25" t="n">
        <x:f>COUNTIF(Tasks!$C$2:$C$200,A25)</x:f>
        <x:v>4</x:v>
      </x:c>
      <x:c r="C25" s="25" t="n">
        <x:f>COUNTIFS(Tasks!$C$2:$C$200,$A25,Tasks!$J$2:$J$200,"DONE")</x:f>
        <x:v>0</x:v>
      </x:c>
      <x:c r="D25" s="25" t="n">
        <x:f>B25-C25</x:f>
        <x:v>4</x:v>
      </x:c>
      <x:c r="E25" s="27" t="n"/>
      <x:c r="F25" s="27" t="n"/>
      <x:c r="G25" s="27" t="n"/>
    </x:row>
    <x:row r="26">
      <x:c r="A26" s="20" t="inlineStr">
        <x:is>
          <x:t xml:space="preserve">안정성</x:t>
        </x:is>
      </x:c>
      <x:c r="B26" s="25" t="n">
        <x:f>COUNTIF(Tasks!$C$2:$C$200,A26)</x:f>
        <x:v>3</x:v>
      </x:c>
      <x:c r="C26" s="25" t="n">
        <x:f>COUNTIFS(Tasks!$C$2:$C$200,$A26,Tasks!$J$2:$J$200,"DONE")</x:f>
        <x:v>0</x:v>
      </x:c>
      <x:c r="D26" s="25" t="n">
        <x:f>B26-C26</x:f>
        <x:v>3</x:v>
      </x:c>
      <x:c r="E26" s="27" t="n"/>
      <x:c r="F26" s="27" t="n"/>
      <x:c r="G26" s="27" t="n"/>
    </x:row>
    <x:row r="27">
      <x:c r="A27" s="20" t="inlineStr">
        <x:is>
          <x:t xml:space="preserve">테스트</x:t>
        </x:is>
      </x:c>
      <x:c r="B27" s="25" t="n">
        <x:f>COUNTIF(Tasks!$C$2:$C$200,A27)</x:f>
        <x:v>2</x:v>
      </x:c>
      <x:c r="C27" s="25" t="n">
        <x:f>COUNTIFS(Tasks!$C$2:$C$200,$A27,Tasks!$J$2:$J$200,"DONE")</x:f>
        <x:v>1</x:v>
      </x:c>
      <x:c r="D27" s="25" t="n">
        <x:f>B27-C27</x:f>
        <x:v>1</x:v>
      </x:c>
      <x:c r="E27" s="27" t="n"/>
      <x:c r="F27" s="27" t="n"/>
      <x:c r="G27" s="27" t="n"/>
    </x:row>
    <x:row r="28">
      <x:c r="A28" s="20" t="inlineStr">
        <x:is>
          <x:t xml:space="preserve">배포/운영</x:t>
        </x:is>
      </x:c>
      <x:c r="B28" s="25" t="n">
        <x:f>COUNTIF(Tasks!$C$2:$C$200,A28)</x:f>
        <x:v>3</x:v>
      </x:c>
      <x:c r="C28" s="25" t="n">
        <x:f>COUNTIFS(Tasks!$C$2:$C$200,$A28,Tasks!$J$2:$J$200,"DONE")</x:f>
        <x:v>0</x:v>
      </x:c>
      <x:c r="D28" s="25" t="n">
        <x:f>B28-C28</x:f>
        <x:v>3</x:v>
      </x:c>
      <x:c r="E28" s="27" t="n"/>
      <x:c r="F28" s="27" t="n"/>
      <x:c r="G28" s="27" t="n"/>
    </x:row>
    <x:row r="29">
      <x:c r="A29" s="17"/>
      <x:c r="B29" s="27" t="n"/>
      <x:c r="C29" s="27" t="n"/>
      <x:c r="D29" s="27" t="n"/>
      <x:c r="E29" s="27" t="n"/>
      <x:c r="F29" s="27" t="n"/>
      <x:c r="G29" s="27" t="n"/>
    </x:row>
    <x:row r="30">
      <x:c r="A30" s="17"/>
      <x:c r="B30" s="17"/>
      <x:c r="C30" s="17"/>
      <x:c r="D30" s="17"/>
      <x:c r="E30" s="17"/>
      <x:c r="F30" s="17"/>
      <x:c r="G30" s="17"/>
    </x:row>
    <x:row r="31" ht="20" customHeight="1">
      <x:c r="A31" s="35" t="str">
        <x:v>구현 및 검증 범위</x:v>
      </x:c>
      <x:c r="B31" s="33"/>
      <x:c r="C31" s="33"/>
      <x:c r="D31" s="33"/>
      <x:c r="E31" s="33"/>
      <x:c r="F31" s="33"/>
      <x:c r="G31" s="33"/>
      <x:c r="H31" s="34"/>
    </x:row>
    <x:row r="32" ht="34" customHeight="1">
      <x:c r="A32" s="21" t="inlineStr">
        <x:is>
          <x:t xml:space="preserve">핵심 API</x:t>
        </x:is>
      </x:c>
      <x:c r="B32" s="20" t="str">
        <x:v>T302 완료 · Next.js가 계산과 해석을 결합</x:v>
      </x:c>
      <x:c r="C32" s="17"/>
      <x:c r="D32" s="17"/>
      <x:c r="E32" s="17"/>
      <x:c r="F32" s="17"/>
      <x:c r="G32" s="17"/>
    </x:row>
    <x:row r="33" ht="34" customHeight="1">
      <x:c r="A33" s="21" t="inlineStr">
        <x:is>
          <x:t xml:space="preserve">핵심 계산</x:t>
        </x:is>
      </x:c>
      <x:c r="B33" s="20" t="str">
        <x:v>T105 완료 · 31개 별 샘플, 확대는 T101</x:v>
      </x:c>
      <x:c r="C33" s="17"/>
      <x:c r="D33" s="17"/>
      <x:c r="E33" s="17"/>
      <x:c r="F33" s="17"/>
      <x:c r="G33" s="17"/>
    </x:row>
    <x:row r="34" ht="34" customHeight="1">
      <x:c r="A34" s="21" t="inlineStr">
        <x:is>
          <x:t xml:space="preserve">위치·시간</x:t>
        </x:is>
      </x:c>
      <x:c r="B34" s="20" t="str">
        <x:v>T104 완료 · T103 자동 추론은 부분 구현</x:v>
      </x:c>
      <x:c r="C34" s="17"/>
      <x:c r="D34" s="17"/>
      <x:c r="E34" s="17"/>
      <x:c r="F34" s="17"/>
      <x:c r="G34" s="17"/>
    </x:row>
    <x:row r="35" ht="34" customHeight="1">
      <x:c r="A35" s="21" t="inlineStr">
        <x:is>
          <x:t xml:space="preserve">해석 결과</x:t>
        </x:is>
      </x:c>
      <x:c r="B35" s="20" t="str">
        <x:v>T203 완료 · T202 기본 규칙 확대 필요</x:v>
      </x:c>
      <x:c r="C35" s="17"/>
      <x:c r="D35" s="17"/>
      <x:c r="E35" s="17"/>
      <x:c r="F35" s="17"/>
      <x:c r="G35" s="17"/>
    </x:row>
    <x:row r="36" ht="34" customHeight="1">
      <x:c r="A36" s="21" t="inlineStr">
        <x:is>
          <x:t xml:space="preserve">문서화</x:t>
        </x:is>
      </x:c>
      <x:c r="B36" s="20" t="str">
        <x:v>T303 부분 구현 · 두 서버 계약 정렬 필요</x:v>
      </x:c>
      <x:c r="C36" s="17"/>
      <x:c r="D36" s="17"/>
      <x:c r="E36" s="17"/>
      <x:c r="F36" s="17"/>
      <x:c r="G36" s="17"/>
    </x:row>
    <x:row r="37"/>
    <x:row r="38"/>
    <x:row r="39"/>
    <x:row r="40"/>
  </x:sheetData>
  <x:mergeCells>
    <x:mergeCell ref="A1:H1"/>
    <x:mergeCell ref="A3:H3"/>
    <x:mergeCell ref="A11:H11"/>
    <x:mergeCell ref="A18:H18"/>
    <x:mergeCell ref="A31:H31"/>
    <x:mergeCell ref="B32:H32"/>
    <x:mergeCell ref="B33:H33"/>
    <x:mergeCell ref="B34:H34"/>
    <x:mergeCell ref="B35:H35"/>
    <x:mergeCell ref="B36:H36"/>
  </x:mergeCells>
  <x:pageMargins left="0.7" right="0.7" top="0.75" bottom="0.75" header="0.3" footer="0.3"/>
</x:worksheet>
</file>